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d.docs.live.net/eb5687667f6f3005/Desktop/PROJETOS/"/>
    </mc:Choice>
  </mc:AlternateContent>
  <xr:revisionPtr revIDLastSave="0" documentId="8_{EFC10E81-98C9-43F7-B547-6894E66D2F6E}" xr6:coauthVersionLast="47" xr6:coauthVersionMax="47" xr10:uidLastSave="{00000000-0000-0000-0000-000000000000}"/>
  <bookViews>
    <workbookView xWindow="-96" yWindow="0" windowWidth="11748" windowHeight="12336" tabRatio="1000" xr2:uid="{00000000-000D-0000-FFFF-FFFF00000000}"/>
  </bookViews>
  <sheets>
    <sheet name="dashboard" sheetId="12" r:id="rId1"/>
    <sheet name="analysis" sheetId="11" state="hidden" r:id="rId2"/>
    <sheet name="2023 State Analysis" sheetId="10" r:id="rId3"/>
    <sheet name="Raw Data - Production" sheetId="2" state="hidden" r:id="rId4"/>
    <sheet name="Raw Data - Harvested Area" sheetId="1" state="hidden" r:id="rId5"/>
    <sheet name="Raw Data - Yield" sheetId="3" state="hidden" r:id="rId6"/>
    <sheet name="Harvested Area Analysis" sheetId="15" r:id="rId7"/>
    <sheet name="yield analysis" sheetId="14" r:id="rId8"/>
    <sheet name="notes" sheetId="4" state="hidden" r:id="rId9"/>
  </sheets>
  <calcPr calcId="191029"/>
  <fileRecoveryPr repairLoad="1"/>
</workbook>
</file>

<file path=xl/calcChain.xml><?xml version="1.0" encoding="utf-8"?>
<calcChain xmlns="http://schemas.openxmlformats.org/spreadsheetml/2006/main">
  <c r="C1" i="15" l="1"/>
  <c r="B11" i="15"/>
  <c r="B10" i="15"/>
  <c r="B9" i="15"/>
  <c r="B8" i="15"/>
  <c r="B6" i="15"/>
  <c r="B7" i="15"/>
  <c r="B5" i="15"/>
  <c r="B4" i="15"/>
  <c r="B3" i="15"/>
  <c r="B2" i="15"/>
  <c r="C3" i="14"/>
  <c r="D3" i="12"/>
  <c r="C3" i="12"/>
  <c r="B3" i="12"/>
  <c r="A3" i="12"/>
  <c r="I4" i="11"/>
  <c r="H4" i="11"/>
  <c r="I2" i="11"/>
  <c r="H2" i="11"/>
  <c r="G2" i="11"/>
  <c r="F2" i="11"/>
  <c r="E4" i="11"/>
  <c r="E2" i="11"/>
  <c r="D4" i="11"/>
  <c r="D2" i="11"/>
  <c r="C4" i="11"/>
  <c r="C5" i="11"/>
  <c r="C6" i="11"/>
  <c r="C7" i="11"/>
  <c r="C8" i="11"/>
  <c r="C9" i="11"/>
  <c r="C10" i="11"/>
  <c r="C11" i="11"/>
  <c r="C3" i="11"/>
  <c r="B11" i="11"/>
  <c r="B10" i="11"/>
  <c r="B9" i="11"/>
  <c r="B8" i="11"/>
  <c r="B7" i="11"/>
  <c r="B6" i="11"/>
  <c r="B5" i="11"/>
  <c r="B4" i="11"/>
  <c r="B3" i="11"/>
  <c r="B2" i="11"/>
</calcChain>
</file>

<file path=xl/sharedStrings.xml><?xml version="1.0" encoding="utf-8"?>
<sst xmlns="http://schemas.openxmlformats.org/spreadsheetml/2006/main" count="1030" uniqueCount="123">
  <si>
    <t>Tabela 5457 - Área plantada ou destinada à colheita, área colhida, quantidade produzida, rendimento médio e valor da produção das lavouras temporárias e permanentes</t>
  </si>
  <si>
    <t>Variável - Área colhida (Hectares)</t>
  </si>
  <si>
    <t>Unidade da Federação</t>
  </si>
  <si>
    <t>Ano x Produto das lavouras temporárias e permanentes</t>
  </si>
  <si>
    <t>2014</t>
  </si>
  <si>
    <t>2015</t>
  </si>
  <si>
    <t>2016</t>
  </si>
  <si>
    <t>2017</t>
  </si>
  <si>
    <t>2018</t>
  </si>
  <si>
    <t>2019</t>
  </si>
  <si>
    <t>2020</t>
  </si>
  <si>
    <t>2021</t>
  </si>
  <si>
    <t>2022</t>
  </si>
  <si>
    <t>2023</t>
  </si>
  <si>
    <t>Total</t>
  </si>
  <si>
    <t>Tomate</t>
  </si>
  <si>
    <t>Rondônia</t>
  </si>
  <si>
    <t>Acre</t>
  </si>
  <si>
    <t>-</t>
  </si>
  <si>
    <t>Amazonas</t>
  </si>
  <si>
    <t>Roraima</t>
  </si>
  <si>
    <t>Pará</t>
  </si>
  <si>
    <t>Amapá</t>
  </si>
  <si>
    <t>Tocantins</t>
  </si>
  <si>
    <t>Maranhão</t>
  </si>
  <si>
    <t>Piauí</t>
  </si>
  <si>
    <t>Ceará</t>
  </si>
  <si>
    <t>Rio Grande do Norte</t>
  </si>
  <si>
    <t>Paraíba</t>
  </si>
  <si>
    <t>Pernambuco</t>
  </si>
  <si>
    <t>Alagoas</t>
  </si>
  <si>
    <t>Sergipe</t>
  </si>
  <si>
    <t>Bahia</t>
  </si>
  <si>
    <t>Minas Gerais</t>
  </si>
  <si>
    <t>Espírito Santo</t>
  </si>
  <si>
    <t>Rio de Janeiro</t>
  </si>
  <si>
    <t>Guanabara</t>
  </si>
  <si>
    <t>...</t>
  </si>
  <si>
    <t>São Paulo</t>
  </si>
  <si>
    <t>Paraná</t>
  </si>
  <si>
    <t>Santa Catarina</t>
  </si>
  <si>
    <t>Rio Grande do Sul</t>
  </si>
  <si>
    <t>Mato Grosso do Sul</t>
  </si>
  <si>
    <t>Mato Grosso</t>
  </si>
  <si>
    <t>Goiás</t>
  </si>
  <si>
    <t>Distrito Federal</t>
  </si>
  <si>
    <t>Fonte: IBGE - Produção Agrícola Municipal</t>
  </si>
  <si>
    <t>Variável - Quantidade produzida (Toneladas)</t>
  </si>
  <si>
    <t>..</t>
  </si>
  <si>
    <t>Variável - Rendimento médio da produção (Quilogramas por Hectare)</t>
  </si>
  <si>
    <t>Notas</t>
  </si>
  <si>
    <t>1 - Os municípios sem informação para pelo menos um produto da lavoura não aparecem nas listas;</t>
  </si>
  <si>
    <t>2 - A partir do ano de 2001 as quantidades produzidas dos produtos abacate, banana, caqui, figo, goiaba, laranja, limão, maçã, mamão, manga, maracujá, marmelo, melancia, melão, pera, pêssego e tangerina passam a ser expressas em toneladas. Nos anos anteriores eram expressas em mil frutos, com exceção da banana, que era expressa em mil cachos. O rendimento médio passa a ser expresso em Kg/ha. Nos anos anteriores era expresso em frutos/ha, com exceção da banana, que era expressa em cachos/ha.</t>
  </si>
  <si>
    <t>3 - Veja em https://sidra.ibge.gov.br/content/documentos/pam/AlteracoesUnidadesMedidaFrutas.pdf um documento com as alterações de unidades de medida das frutíferas ocorridas em 2001 e a tabela de conversão fruto x quilograma.</t>
  </si>
  <si>
    <t>4 - Até 2001, café (em coco), a partir de 2002, café (beneficiado ou em grão).</t>
  </si>
  <si>
    <t>5 - Os produtos girassol e triticale só apresentam informação a partir de 2005.</t>
  </si>
  <si>
    <t>6 - As quantidades produzidas de abacaxi e de coco-da-baía são expressas em mil frutos e o rendimento médio em frutos/ha.</t>
  </si>
  <si>
    <t>7 - Valores para a categoria Total indisponíveis para as variáveis Quantidade produzida e Rendimento médio, pois as unidades de medida diferem para determinados produtos.</t>
  </si>
  <si>
    <t>8 - Subentende a possibilidade de cultivos sucessivos ou simultâneos (simples, associados e/ou intercalados) no mesmo ano e no mesmo local, podendo, por isto, a área informada da cultura exceder a área geográfica do município.</t>
  </si>
  <si>
    <t>9 - As culturas de abacaxi, cana-de-açúcar, mamona e mandioca são consideradas culturas temporárias de longa duração. Elas costumam ter ciclo vegetativo que ultrapassa 12 meses e, por isso, as informações são computadas nas colheitas realizadas dentro de cada ano civil (12 meses).
Nestas culturas a área plantada refere-se a área destinada à colheita no ano.</t>
  </si>
  <si>
    <t>10 - A diferença entre a área plantada ou destinada à colheita e a área colhida na lavoura é considerada como área perdida.</t>
  </si>
  <si>
    <t>11 - A variável Área plantada ou destinada à colheita só passou a ser informada a partir de 1988.
12 - Valor da produção: Variável derivada calculada pela média ponderada das informações de quantidade e preço médio corrente pago ao produtor, de acordo com os períodos de colheita e comercialização de cada produto. As despesas de frete, taxas e impostos não são incluídas no preço.
13 - Os dados do último ano divulgado são RESULTADOS PRELIMINARES e podem sofrer alterações até a próxima divulgação.</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</si>
  <si>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</si>
  <si>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</si>
  <si>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</si>
  <si>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</si>
  <si>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</si>
  <si>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</si>
  <si>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</si>
  <si>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</si>
  <si>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</si>
  <si>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</si>
  <si>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</si>
  <si>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</si>
  <si>
    <t>ANO</t>
  </si>
  <si>
    <t>PRODUÇÃO DE TOMATE  ( t)</t>
  </si>
  <si>
    <t>VARIAÇÃO ANUAL (%)</t>
  </si>
  <si>
    <t>MAIOR PRODUÇÃO</t>
  </si>
  <si>
    <t>ANO DA MAIOR PRODUÇÃO</t>
  </si>
  <si>
    <t>MENOR PRODUÇÃO</t>
  </si>
  <si>
    <t>ANO DA MENOR PRODUÇÃO</t>
  </si>
  <si>
    <t>PRODUÇÃO MÉDIA</t>
  </si>
  <si>
    <t>VARIAÇÃO TOTAL 2014-2023</t>
  </si>
  <si>
    <t>MAIOR CRESCIMENTO ANUAL</t>
  </si>
  <si>
    <t>MAIOR QUEDA ANUAL</t>
  </si>
  <si>
    <t>ANO DO MAIOR CRESCIMENTO ANUAL</t>
  </si>
  <si>
    <t>ANO DA MAIOR QUEDA ANUAL</t>
  </si>
  <si>
    <t>PRINCIPAIS INSIGHTS</t>
  </si>
  <si>
    <t>2. Menor produção ocorreu em 2021: 3679256 t.</t>
  </si>
  <si>
    <t>3. Em 2023, a produção cresceu 9,9%, maior alta do período</t>
  </si>
  <si>
    <t>4. Apesar da recuperação de 2022-23, a produção permaneceu menor que a de 2014.</t>
  </si>
  <si>
    <t>1. Produção total caiu 3,18% entre 2014 e 2023</t>
  </si>
  <si>
    <t>P</t>
  </si>
  <si>
    <t>↑ 9,90%</t>
  </si>
  <si>
    <t>STATE</t>
  </si>
  <si>
    <t>PRODUCTION 2023 (t)</t>
  </si>
  <si>
    <t>KEY INSIGHTS</t>
  </si>
  <si>
    <t>1. Goiás led national production: 1.24M tonnes.</t>
  </si>
  <si>
    <t>2. São Paulo ranked second: 753K tonnes.</t>
  </si>
  <si>
    <t>3. Top 3 states accounted for ~54% of production.</t>
  </si>
  <si>
    <t>YIELD 2023 (kg/ha)</t>
  </si>
  <si>
    <t>AVERAGE YIELD 2023</t>
  </si>
  <si>
    <t>INSIGHT</t>
  </si>
  <si>
    <t>Average state yiel: 47711kg/ ha</t>
  </si>
  <si>
    <t>Goiás had the highest tomato yield in 2023: 85,752 kg/ha.</t>
  </si>
  <si>
    <t>The top 5 states achieved yields above 72,000 kg/ha.</t>
  </si>
  <si>
    <t>YEAR</t>
  </si>
  <si>
    <t>HARVESTED AREA (ha)</t>
  </si>
  <si>
    <t>insights</t>
  </si>
  <si>
    <t>Harvested area reached its lowest level in 2021.</t>
  </si>
  <si>
    <t>Harvested area decreased by 8,3 % from 2014 to 2023.</t>
  </si>
  <si>
    <t>↓ 8.3%</t>
  </si>
  <si>
    <t>Harvested area 2014–2023</t>
  </si>
  <si>
    <t>47,711 kg/ha</t>
  </si>
  <si>
    <t>Average state yield — 2023</t>
  </si>
  <si>
    <t>Lowest production</t>
  </si>
  <si>
    <t>Growth in 2023</t>
  </si>
  <si>
    <t>Recovery began</t>
  </si>
  <si>
    <t>BRAZIL TOMATO PRODUCTION ANALYSIS (2014–2023)</t>
  </si>
  <si>
    <t>HIGHEST PRODUCTION</t>
  </si>
  <si>
    <t>LOWEST PRODUCTIONÇÃO</t>
  </si>
  <si>
    <t>AVERAGE PRODUCTION</t>
  </si>
  <si>
    <t>TOTAL CHANGE (2014–2023)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</si>
</sst>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indexed="64"/>
      <name val="Calibri"/>
      <family val="2"/>
      <scheme val="minor"/>
    </font>
    <font>
      <sz val="11"/>
      <color indexed="64"/>
      <name val="Calibri"/>
      <family val="2"/>
      <scheme val="minor"/>
    </font>
    <font>
      <b/>
      <sz val="11"/>
      <color indexed="64"/>
      <name val="Calibri"/>
      <family val="2"/>
      <scheme val="minor"/>
    </font>
    <font>
      <b/>
      <sz val="14"/>
      <color indexed="64"/>
      <name val="Calibri"/>
      <family val="2"/>
      <scheme val="minor"/>
    </font>
    <font>
      <b/>
      <sz val="10"/>
      <color indexed="64"/>
      <name val="Arial Unicode MS"/>
    </font>
    <font>
      <b/>
      <sz val="10"/>
      <color indexed="64"/>
      <name val="Calibri"/>
      <family val="2"/>
      <scheme val="minor"/>
    </font>
    <font>
      <b/>
      <sz val="14"/>
      <color rgb="FFFF0000"/>
      <name val="Calibri"/>
      <family val="2"/>
      <scheme val="minor"/>
    </font>
    <font>
      <sz val="11"/>
      <color theme="1" tint="0.14999847407452621"/>
      <name val="Calibri"/>
      <family val="2"/>
      <scheme val="minor"/>
    </font>
  </fonts>
  <fills count="3">
    <fill>
      <patternFill patternType="none"/>
    </fill>
    <fill>
      <patternFill patternType="gray125"/>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theme="4"/>
      </left>
      <right/>
      <top/>
      <bottom/>
      <diagonal/>
    </border>
    <border>
      <left style="thin">
        <color theme="4"/>
      </left>
      <right style="thin">
        <color theme="4"/>
      </right>
      <top/>
      <bottom/>
      <diagonal/>
    </border>
    <border>
      <left style="thin">
        <color indexed="64"/>
      </left>
      <right/>
      <top/>
      <bottom/>
      <diagonal/>
    </border>
    <border>
      <left style="thin">
        <color theme="1"/>
      </left>
      <right/>
      <top/>
      <bottom/>
      <diagonal/>
    </border>
    <border>
      <left style="thin">
        <color indexed="64"/>
      </left>
      <right style="thin">
        <color theme="1"/>
      </right>
      <top/>
      <bottom/>
      <diagonal/>
    </border>
    <border>
      <left style="thin">
        <color theme="1"/>
      </left>
      <right style="thin">
        <color theme="1"/>
      </right>
      <top/>
      <bottom/>
      <diagonal/>
    </border>
  </borders>
  <cellStyleXfs count="2">
    <xf numFmtId="0" fontId="0" fillId="0" borderId="0"/>
    <xf numFmtId="9" fontId="1" fillId="0" borderId="0" applyFont="0" applyFill="0" applyBorder="0" applyAlignment="0" applyProtection="0"/>
  </cellStyleXfs>
  <cellXfs count="39">
    <xf numFmtId="0" fontId="0" fillId="0" borderId="0" xfId="0"/>
    <xf numFmtId="0" fontId="2" fillId="0" borderId="0" xfId="0" applyFont="1"/>
    <xf numFmtId="0" fontId="0" fillId="0" borderId="1" xfId="0" applyBorder="1"/>
    <xf numFmtId="0" fontId="0" fillId="0" borderId="1" xfId="0" applyBorder="1" applyAlignment="1">
      <alignment horizontal="left"/>
    </xf>
    <xf numFmtId="10" fontId="0" fillId="0" borderId="1" xfId="1" applyNumberFormat="1" applyFont="1" applyBorder="1" applyAlignment="1"/>
    <xf numFmtId="0" fontId="0" fillId="0" borderId="2" xfId="0" applyBorder="1"/>
    <xf numFmtId="0" fontId="0" fillId="0" borderId="1" xfId="0" applyBorder="1" applyAlignment="1">
      <alignment horizontal="center"/>
    </xf>
    <xf numFmtId="10" fontId="0" fillId="0" borderId="1" xfId="0" applyNumberFormat="1" applyBorder="1"/>
    <xf numFmtId="0" fontId="0" fillId="0" borderId="0" xfId="0" applyAlignment="1">
      <alignment wrapText="1"/>
    </xf>
    <xf numFmtId="0" fontId="0" fillId="0" borderId="0" xfId="0"/>
    <xf numFmtId="0" fontId="0" fillId="0" borderId="0" xfId="0" applyBorder="1"/>
    <xf numFmtId="0" fontId="3" fillId="0" borderId="0" xfId="0" applyFont="1" applyBorder="1" applyAlignment="1">
      <alignment horizontal="center"/>
    </xf>
    <xf numFmtId="0" fontId="3" fillId="0" borderId="6" xfId="0" applyFont="1" applyBorder="1" applyAlignment="1">
      <alignment horizontal="center"/>
    </xf>
    <xf numFmtId="0" fontId="3" fillId="0" borderId="0" xfId="0" applyFont="1" applyAlignment="1">
      <alignment horizontal="center" vertical="center"/>
    </xf>
    <xf numFmtId="0" fontId="7" fillId="0" borderId="0" xfId="0" applyFont="1" applyBorder="1" applyAlignment="1">
      <alignment horizontal="center" vertical="center" wrapText="1"/>
    </xf>
    <xf numFmtId="0" fontId="7" fillId="0" borderId="6" xfId="0" applyFont="1" applyBorder="1" applyAlignment="1">
      <alignment horizontal="center" vertical="center" wrapText="1"/>
    </xf>
    <xf numFmtId="0" fontId="3" fillId="0" borderId="6" xfId="0" applyFont="1" applyBorder="1" applyAlignment="1">
      <alignment horizontal="center" vertical="center"/>
    </xf>
    <xf numFmtId="0" fontId="3" fillId="2" borderId="3" xfId="0" applyFont="1" applyFill="1" applyBorder="1" applyAlignment="1">
      <alignment horizontal="center" vertical="center"/>
    </xf>
    <xf numFmtId="0" fontId="3" fillId="0" borderId="5" xfId="0" applyFont="1" applyBorder="1" applyAlignment="1">
      <alignment horizontal="center" vertical="center"/>
    </xf>
    <xf numFmtId="0" fontId="5" fillId="2" borderId="0" xfId="0" applyFont="1" applyFill="1" applyBorder="1" applyAlignment="1">
      <alignment horizontal="center" vertical="center" wrapText="1"/>
    </xf>
    <xf numFmtId="0" fontId="4" fillId="2" borderId="0" xfId="0" applyFont="1" applyFill="1" applyBorder="1" applyAlignment="1">
      <alignment horizontal="center" vertical="center" wrapText="1"/>
    </xf>
    <xf numFmtId="3" fontId="3" fillId="2" borderId="0" xfId="0" applyNumberFormat="1" applyFont="1" applyFill="1" applyBorder="1" applyAlignment="1">
      <alignment horizontal="center"/>
    </xf>
    <xf numFmtId="10" fontId="6" fillId="2" borderId="0" xfId="0" applyNumberFormat="1" applyFont="1" applyFill="1" applyBorder="1" applyAlignment="1">
      <alignment horizontal="center"/>
    </xf>
    <xf numFmtId="0" fontId="3" fillId="0" borderId="0" xfId="0" applyFont="1" applyBorder="1" applyAlignment="1">
      <alignment horizontal="center" vertical="center"/>
    </xf>
    <xf numFmtId="0" fontId="0" fillId="0" borderId="0" xfId="0" applyBorder="1" applyAlignment="1">
      <alignment horizontal="center" vertical="center"/>
    </xf>
    <xf numFmtId="0" fontId="2" fillId="0" borderId="1" xfId="0" applyFont="1" applyBorder="1" applyAlignment="1">
      <alignment horizontal="center"/>
    </xf>
    <xf numFmtId="0" fontId="0" fillId="0" borderId="0" xfId="0" applyAlignment="1"/>
    <xf numFmtId="0" fontId="0" fillId="0" borderId="0" xfId="0" applyFont="1"/>
    <xf numFmtId="0" fontId="0" fillId="0" borderId="0" xfId="0" applyFont="1" applyAlignment="1">
      <alignment wrapText="1"/>
    </xf>
    <xf numFmtId="0" fontId="0" fillId="0" borderId="0" xfId="0" applyFont="1" applyAlignment="1"/>
    <xf numFmtId="0" fontId="0" fillId="0" borderId="0" xfId="0" applyFont="1" applyAlignment="1">
      <alignment horizontal="left"/>
    </xf>
    <xf numFmtId="9" fontId="0" fillId="0" borderId="0" xfId="1" applyFont="1"/>
    <xf numFmtId="0" fontId="0" fillId="0" borderId="7" xfId="0" applyBorder="1"/>
    <xf numFmtId="0" fontId="7" fillId="0" borderId="8" xfId="0" applyFont="1" applyBorder="1" applyAlignment="1">
      <alignment horizontal="center" vertical="center" wrapText="1"/>
    </xf>
    <xf numFmtId="0" fontId="0" fillId="0" borderId="9" xfId="0" applyBorder="1" applyAlignment="1">
      <alignment horizontal="center" vertical="center"/>
    </xf>
    <xf numFmtId="0" fontId="3" fillId="0" borderId="9" xfId="0" applyFont="1" applyBorder="1" applyAlignment="1">
      <alignment horizontal="center" vertical="center"/>
    </xf>
    <xf numFmtId="0" fontId="0" fillId="0" borderId="0" xfId="0" applyFont="1" applyAlignment="1">
      <alignment horizontal="center" vertical="center" wrapText="1"/>
    </xf>
    <xf numFmtId="0" fontId="0" fillId="0" borderId="9" xfId="0" applyBorder="1" applyAlignment="1">
      <alignment horizontal="center" vertical="center" wrapText="1"/>
    </xf>
    <xf numFmtId="0" fontId="3" fillId="0" borderId="4" xfId="0" applyFont="1" applyBorder="1" applyAlignment="1">
      <alignment horizontal="center" vertical="center"/>
    </xf>
  </cellXfs>
  <cellStyles count="2">
    <cellStyle name="Normal" xfId="0" builtinId="0"/>
    <cellStyle name="Porcentagem"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 </a:t>
            </a:r>
            <a:r>
              <a:rPr lang="pt-BR" sz="1400" b="0" i="0" u="none" strike="noStrike" baseline="0"/>
              <a:t>TOMATO PRODUCTION IN BRAZIL (2014–2023)</a:t>
            </a:r>
            <a:r>
              <a:rPr lang="en-US">
                <a:solidFill>
                  <a:schemeClr val="tx1"/>
                </a:solidFill>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1"/>
          <c:order val="0"/>
          <c:tx>
            <c:strRef>
              <c:f>analysis!$B$1</c:f>
              <c:strCache>
                <c:ptCount val="1"/>
                <c:pt idx="0">
                  <c:v>PRODUÇÃO DE TOMATE  ( t)</c:v>
                </c:pt>
              </c:strCache>
            </c:strRef>
          </c:tx>
          <c:spPr>
            <a:ln w="28575" cap="rnd">
              <a:solidFill>
                <a:schemeClr val="accent2"/>
              </a:solidFill>
              <a:round/>
            </a:ln>
            <a:effectLst/>
          </c:spPr>
          <c:marker>
            <c:symbol val="square"/>
            <c:size val="5"/>
            <c:spPr>
              <a:solidFill>
                <a:schemeClr val="accent2"/>
              </a:solidFill>
              <a:ln w="9525">
                <a:solidFill>
                  <a:schemeClr val="accent2"/>
                </a:solidFill>
              </a:ln>
              <a:effectLst/>
            </c:spPr>
          </c:marker>
          <c:cat>
            <c:strRef>
              <c:f>analysis!$A$2:$A$11</c:f>
              <c:strCache>
                <c:ptCount val="10"/>
                <c:pt idx="0">
                  <c:v>2014</c:v>
                </c:pt>
                <c:pt idx="1">
                  <c:v>2015</c:v>
                </c:pt>
                <c:pt idx="2">
                  <c:v>2016</c:v>
                </c:pt>
                <c:pt idx="3">
                  <c:v>2017</c:v>
                </c:pt>
                <c:pt idx="4">
                  <c:v>2018</c:v>
                </c:pt>
                <c:pt idx="5">
                  <c:v>2019</c:v>
                </c:pt>
                <c:pt idx="6">
                  <c:v>2020</c:v>
                </c:pt>
                <c:pt idx="7">
                  <c:v>2021</c:v>
                </c:pt>
                <c:pt idx="8">
                  <c:v>2022</c:v>
                </c:pt>
                <c:pt idx="9">
                  <c:v>2023</c:v>
                </c:pt>
              </c:strCache>
            </c:strRef>
          </c:cat>
          <c:val>
            <c:numRef>
              <c:f>analysis!$B$2:$B$11</c:f>
              <c:numCache>
                <c:formatCode>General</c:formatCode>
                <c:ptCount val="10"/>
                <c:pt idx="0">
                  <c:v>4302777</c:v>
                </c:pt>
                <c:pt idx="1">
                  <c:v>4187729</c:v>
                </c:pt>
                <c:pt idx="2">
                  <c:v>4166789</c:v>
                </c:pt>
                <c:pt idx="3">
                  <c:v>4225414</c:v>
                </c:pt>
                <c:pt idx="4">
                  <c:v>4126988</c:v>
                </c:pt>
                <c:pt idx="5">
                  <c:v>3920997</c:v>
                </c:pt>
                <c:pt idx="6">
                  <c:v>3757078</c:v>
                </c:pt>
                <c:pt idx="7">
                  <c:v>3679256</c:v>
                </c:pt>
                <c:pt idx="8">
                  <c:v>3790784</c:v>
                </c:pt>
                <c:pt idx="9">
                  <c:v>4166017</c:v>
                </c:pt>
              </c:numCache>
            </c:numRef>
          </c:val>
          <c:smooth val="0"/>
          <c:extLst>
            <c:ext xmlns:c16="http://schemas.microsoft.com/office/drawing/2014/chart" uri="{C3380CC4-5D6E-409C-BE32-E72D297353CC}">
              <c16:uniqueId val="{00000002-B42B-4C7E-AC20-FEEF98C3418F}"/>
            </c:ext>
          </c:extLst>
        </c:ser>
        <c:dLbls>
          <c:showLegendKey val="0"/>
          <c:showVal val="0"/>
          <c:showCatName val="0"/>
          <c:showSerName val="0"/>
          <c:showPercent val="0"/>
          <c:showBubbleSize val="0"/>
        </c:dLbls>
        <c:marker val="1"/>
        <c:smooth val="0"/>
        <c:axId val="739521960"/>
        <c:axId val="739522680"/>
      </c:lineChart>
      <c:catAx>
        <c:axId val="739521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pt-BR"/>
          </a:p>
        </c:txPr>
        <c:crossAx val="739522680"/>
        <c:crosses val="autoZero"/>
        <c:auto val="1"/>
        <c:lblAlgn val="ctr"/>
        <c:lblOffset val="100"/>
        <c:noMultiLvlLbl val="0"/>
      </c:catAx>
      <c:valAx>
        <c:axId val="7395226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pt-BR" sz="1000" b="0" i="0" u="none" strike="noStrike" baseline="0"/>
                  <a:t>PRODUCTION (MILLION TONNES)</a:t>
                </a:r>
                <a:endParaRPr lang="pt-BR">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pt-B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pt-BR"/>
          </a:p>
        </c:txPr>
        <c:crossAx val="739521960"/>
        <c:crosses val="autoZero"/>
        <c:crossBetween val="between"/>
        <c:dispUnits>
          <c:builtInUnit val="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pt-BR" b="0"/>
              <a:t>ANNUAL CHANGE IN TOMATO PRODUCTION (2015–2023)</a:t>
            </a:r>
          </a:p>
        </c:rich>
      </c:tx>
      <c:layout>
        <c:manualLayout>
          <c:xMode val="edge"/>
          <c:yMode val="edge"/>
          <c:x val="9.435632536933837E-2"/>
          <c:y val="6.54806939845985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pt-BR"/>
        </a:p>
      </c:txPr>
    </c:title>
    <c:autoTitleDeleted val="0"/>
    <c:plotArea>
      <c:layout>
        <c:manualLayout>
          <c:layoutTarget val="inner"/>
          <c:xMode val="edge"/>
          <c:yMode val="edge"/>
          <c:x val="0.10213670166229222"/>
          <c:y val="0.19721055701370663"/>
          <c:w val="0.85341885389326333"/>
          <c:h val="0.77736111111111106"/>
        </c:manualLayout>
      </c:layout>
      <c:barChart>
        <c:barDir val="col"/>
        <c:grouping val="clustered"/>
        <c:varyColors val="0"/>
        <c:ser>
          <c:idx val="0"/>
          <c:order val="0"/>
          <c:spPr>
            <a:solidFill>
              <a:srgbClr val="00B05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analysis!$A$3:$A$11</c:f>
              <c:strCache>
                <c:ptCount val="9"/>
                <c:pt idx="0">
                  <c:v>2015</c:v>
                </c:pt>
                <c:pt idx="1">
                  <c:v>2016</c:v>
                </c:pt>
                <c:pt idx="2">
                  <c:v>2017</c:v>
                </c:pt>
                <c:pt idx="3">
                  <c:v>2018</c:v>
                </c:pt>
                <c:pt idx="4">
                  <c:v>2019</c:v>
                </c:pt>
                <c:pt idx="5">
                  <c:v>2020</c:v>
                </c:pt>
                <c:pt idx="6">
                  <c:v>2021</c:v>
                </c:pt>
                <c:pt idx="7">
                  <c:v>2022</c:v>
                </c:pt>
                <c:pt idx="8">
                  <c:v>2023</c:v>
                </c:pt>
              </c:strCache>
            </c:strRef>
          </c:cat>
          <c:val>
            <c:numRef>
              <c:f>analysis!$C$3:$C$11</c:f>
              <c:numCache>
                <c:formatCode>0.00%</c:formatCode>
                <c:ptCount val="9"/>
                <c:pt idx="0">
                  <c:v>-2.6738081011402636E-2</c:v>
                </c:pt>
                <c:pt idx="1">
                  <c:v>-5.0003235643949259E-3</c:v>
                </c:pt>
                <c:pt idx="2">
                  <c:v>1.4069586916928119E-2</c:v>
                </c:pt>
                <c:pt idx="3">
                  <c:v>-2.3293812156631278E-2</c:v>
                </c:pt>
                <c:pt idx="4">
                  <c:v>-4.9913157004575735E-2</c:v>
                </c:pt>
                <c:pt idx="5">
                  <c:v>-4.180543876978228E-2</c:v>
                </c:pt>
                <c:pt idx="6">
                  <c:v>-2.0713437410668611E-2</c:v>
                </c:pt>
                <c:pt idx="7">
                  <c:v>3.031265016622926E-2</c:v>
                </c:pt>
                <c:pt idx="8">
                  <c:v>9.8985592426263272E-2</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109C-40ED-8770-AF77E4320A5B}"/>
            </c:ext>
          </c:extLst>
        </c:ser>
        <c:dLbls>
          <c:dLblPos val="outEnd"/>
          <c:showLegendKey val="0"/>
          <c:showVal val="1"/>
          <c:showCatName val="0"/>
          <c:showSerName val="0"/>
          <c:showPercent val="0"/>
          <c:showBubbleSize val="0"/>
        </c:dLbls>
        <c:gapWidth val="219"/>
        <c:overlap val="-27"/>
        <c:axId val="739520160"/>
        <c:axId val="731753648"/>
      </c:barChart>
      <c:catAx>
        <c:axId val="73952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pt-BR"/>
          </a:p>
        </c:txPr>
        <c:crossAx val="731753648"/>
        <c:crosses val="autoZero"/>
        <c:auto val="1"/>
        <c:lblAlgn val="ctr"/>
        <c:lblOffset val="100"/>
        <c:noMultiLvlLbl val="0"/>
      </c:catAx>
      <c:valAx>
        <c:axId val="7317536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739520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400" b="0" i="0" u="none" strike="noStrike" baseline="0">
                <a:solidFill>
                  <a:schemeClr val="tx1"/>
                </a:solidFill>
              </a:rPr>
              <a:t>TOMATO HARVESTED AREA (2014–2023)</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'Harvested Area Analysis'!$B$1</c:f>
              <c:strCache>
                <c:ptCount val="1"/>
                <c:pt idx="0">
                  <c:v>HARVESTED AREA (ha)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'Harvested Area Analysis'!$A$2:$A$11</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'Harvested Area Analysis'!$B$2:$B$11</c:f>
              <c:numCache>
                <c:formatCode>General</c:formatCode>
                <c:ptCount val="10"/>
                <c:pt idx="0">
                  <c:v>64363</c:v>
                </c:pt>
                <c:pt idx="1">
                  <c:v>63572</c:v>
                </c:pt>
                <c:pt idx="2">
                  <c:v>63995</c:v>
                </c:pt>
                <c:pt idx="3">
                  <c:v>61403</c:v>
                </c:pt>
                <c:pt idx="4">
                  <c:v>57388</c:v>
                </c:pt>
                <c:pt idx="5">
                  <c:v>54591</c:v>
                </c:pt>
                <c:pt idx="6">
                  <c:v>52006</c:v>
                </c:pt>
                <c:pt idx="7">
                  <c:v>51908</c:v>
                </c:pt>
                <c:pt idx="8">
                  <c:v>54341</c:v>
                </c:pt>
                <c:pt idx="9">
                  <c:v>59010</c:v>
                </c:pt>
              </c:numCache>
            </c:numRef>
          </c:val>
          <c:smooth val="0"/>
          <c:extLst>
            <c:ext xmlns:c16="http://schemas.microsoft.com/office/drawing/2014/chart" uri="{C3380CC4-5D6E-409C-BE32-E72D297353CC}">
              <c16:uniqueId val="{00000000-1AAE-4976-8DFA-73B2CB3871B6}"/>
            </c:ext>
          </c:extLst>
        </c:ser>
        <c:dLbls>
          <c:showLegendKey val="0"/>
          <c:showVal val="0"/>
          <c:showCatName val="0"/>
          <c:showSerName val="0"/>
          <c:showPercent val="0"/>
          <c:showBubbleSize val="0"/>
        </c:dLbls>
        <c:marker val="1"/>
        <c:smooth val="0"/>
        <c:axId val="588884984"/>
        <c:axId val="588876704"/>
      </c:lineChart>
      <c:catAx>
        <c:axId val="588884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88876704"/>
        <c:crosses val="autoZero"/>
        <c:auto val="1"/>
        <c:lblAlgn val="ctr"/>
        <c:lblOffset val="100"/>
        <c:noMultiLvlLbl val="0"/>
      </c:catAx>
      <c:valAx>
        <c:axId val="588876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88884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solidFill>
                  <a:schemeClr val="tx1"/>
                </a:solidFill>
              </a:rPr>
              <a:t>TOP</a:t>
            </a:r>
            <a:r>
              <a:rPr lang="pt-BR" baseline="0">
                <a:solidFill>
                  <a:schemeClr val="tx1"/>
                </a:solidFill>
              </a:rPr>
              <a:t> 10 STATES BY TOMATO YIELD- 2023</a:t>
            </a:r>
            <a:endParaRPr lang="pt-BR">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'yield analysis'!$B$1:$B$4</c:f>
              <c:strCache>
                <c:ptCount val="4"/>
                <c:pt idx="0">
                  <c:v>YIELD 2023 (kg/ha)</c:v>
                </c:pt>
                <c:pt idx="1">
                  <c:v>-</c:v>
                </c:pt>
                <c:pt idx="2">
                  <c:v>-</c:v>
                </c:pt>
                <c:pt idx="3">
                  <c:v>-</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'yield analysis'!$A$5:$A$14</c:f>
              <c:strCache>
                <c:ptCount val="10"/>
                <c:pt idx="0">
                  <c:v>Goiás</c:v>
                </c:pt>
                <c:pt idx="1">
                  <c:v>Distrito Federal</c:v>
                </c:pt>
                <c:pt idx="2">
                  <c:v>São Paulo</c:v>
                </c:pt>
                <c:pt idx="3">
                  <c:v>Minas Gerais</c:v>
                </c:pt>
                <c:pt idx="4">
                  <c:v>Ceará</c:v>
                </c:pt>
                <c:pt idx="5">
                  <c:v>Santa Catarina</c:v>
                </c:pt>
                <c:pt idx="6">
                  <c:v>Rio de Janeiro</c:v>
                </c:pt>
                <c:pt idx="7">
                  <c:v>Espírito Santo</c:v>
                </c:pt>
                <c:pt idx="8">
                  <c:v>Paraná</c:v>
                </c:pt>
                <c:pt idx="9">
                  <c:v>Bahia</c:v>
                </c:pt>
              </c:strCache>
            </c:strRef>
          </c:cat>
          <c:val>
            <c:numRef>
              <c:f>'yield analysis'!$B$5:$B$14</c:f>
              <c:numCache>
                <c:formatCode>General</c:formatCode>
                <c:ptCount val="10"/>
                <c:pt idx="0">
                  <c:v>85752</c:v>
                </c:pt>
                <c:pt idx="1">
                  <c:v>80000</c:v>
                </c:pt>
                <c:pt idx="2">
                  <c:v>75592</c:v>
                </c:pt>
                <c:pt idx="3">
                  <c:v>75055</c:v>
                </c:pt>
                <c:pt idx="4">
                  <c:v>72470</c:v>
                </c:pt>
                <c:pt idx="5">
                  <c:v>68037</c:v>
                </c:pt>
                <c:pt idx="6">
                  <c:v>65601</c:v>
                </c:pt>
                <c:pt idx="7">
                  <c:v>64453</c:v>
                </c:pt>
                <c:pt idx="8">
                  <c:v>63375</c:v>
                </c:pt>
                <c:pt idx="9">
                  <c:v>56023</c:v>
                </c:pt>
              </c:numCache>
            </c:numRef>
          </c:val>
          <c:extLst>
            <c:ext xmlns:c16="http://schemas.microsoft.com/office/drawing/2014/chart" uri="{C3380CC4-5D6E-409C-BE32-E72D297353CC}">
              <c16:uniqueId val="{00000000-5499-404F-97FE-E0BC2888B758}"/>
            </c:ext>
          </c:extLst>
        </c:ser>
        <c:dLbls>
          <c:showLegendKey val="0"/>
          <c:showVal val="0"/>
          <c:showCatName val="0"/>
          <c:showSerName val="0"/>
          <c:showPercent val="0"/>
          <c:showBubbleSize val="0"/>
        </c:dLbls>
        <c:gapWidth val="219"/>
        <c:overlap val="-27"/>
        <c:axId val="396943304"/>
        <c:axId val="396949064"/>
      </c:barChart>
      <c:catAx>
        <c:axId val="396943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96949064"/>
        <c:crosses val="autoZero"/>
        <c:auto val="1"/>
        <c:lblAlgn val="ctr"/>
        <c:lblOffset val="100"/>
        <c:noMultiLvlLbl val="0"/>
      </c:catAx>
      <c:valAx>
        <c:axId val="396949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96943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VARIAÇÃO</a:t>
            </a:r>
            <a:r>
              <a:rPr lang="pt-BR" baseline="0"/>
              <a:t> ANUAL DA PRODUÇÃO DE TOMATE NO BRASIL (2015-2023)</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manualLayout>
          <c:layoutTarget val="inner"/>
          <c:xMode val="edge"/>
          <c:yMode val="edge"/>
          <c:x val="0.10213670166229222"/>
          <c:y val="0.19721055701370663"/>
          <c:w val="0.85341885389326333"/>
          <c:h val="0.77736111111111106"/>
        </c:manualLayout>
      </c:layout>
      <c:barChart>
        <c:barDir val="col"/>
        <c:grouping val="clustered"/>
        <c:varyColors val="0"/>
        <c:ser>
          <c:idx val="0"/>
          <c:order val="0"/>
          <c:spPr>
            <a:solidFill>
              <a:srgbClr val="00B05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analysis!$A$3:$A$11</c:f>
              <c:strCache>
                <c:ptCount val="9"/>
                <c:pt idx="0">
                  <c:v>2015</c:v>
                </c:pt>
                <c:pt idx="1">
                  <c:v>2016</c:v>
                </c:pt>
                <c:pt idx="2">
                  <c:v>2017</c:v>
                </c:pt>
                <c:pt idx="3">
                  <c:v>2018</c:v>
                </c:pt>
                <c:pt idx="4">
                  <c:v>2019</c:v>
                </c:pt>
                <c:pt idx="5">
                  <c:v>2020</c:v>
                </c:pt>
                <c:pt idx="6">
                  <c:v>2021</c:v>
                </c:pt>
                <c:pt idx="7">
                  <c:v>2022</c:v>
                </c:pt>
                <c:pt idx="8">
                  <c:v>2023</c:v>
                </c:pt>
              </c:strCache>
            </c:strRef>
          </c:cat>
          <c:val>
            <c:numRef>
              <c:f>analysis!$C$3:$C$11</c:f>
              <c:numCache>
                <c:formatCode>0.00%</c:formatCode>
                <c:ptCount val="9"/>
                <c:pt idx="0">
                  <c:v>-2.6738081011402636E-2</c:v>
                </c:pt>
                <c:pt idx="1">
                  <c:v>-5.0003235643949259E-3</c:v>
                </c:pt>
                <c:pt idx="2">
                  <c:v>1.4069586916928119E-2</c:v>
                </c:pt>
                <c:pt idx="3">
                  <c:v>-2.3293812156631278E-2</c:v>
                </c:pt>
                <c:pt idx="4">
                  <c:v>-4.9913157004575735E-2</c:v>
                </c:pt>
                <c:pt idx="5">
                  <c:v>-4.180543876978228E-2</c:v>
                </c:pt>
                <c:pt idx="6">
                  <c:v>-2.0713437410668611E-2</c:v>
                </c:pt>
                <c:pt idx="7">
                  <c:v>3.031265016622926E-2</c:v>
                </c:pt>
                <c:pt idx="8">
                  <c:v>9.8985592426263272E-2</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9F43-4F73-8D71-B0D58D6EB504}"/>
            </c:ext>
          </c:extLst>
        </c:ser>
        <c:dLbls>
          <c:dLblPos val="outEnd"/>
          <c:showLegendKey val="0"/>
          <c:showVal val="1"/>
          <c:showCatName val="0"/>
          <c:showSerName val="0"/>
          <c:showPercent val="0"/>
          <c:showBubbleSize val="0"/>
        </c:dLbls>
        <c:gapWidth val="219"/>
        <c:overlap val="-27"/>
        <c:axId val="739520160"/>
        <c:axId val="731753648"/>
      </c:barChart>
      <c:catAx>
        <c:axId val="73952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pt-BR"/>
          </a:p>
        </c:txPr>
        <c:crossAx val="731753648"/>
        <c:crosses val="autoZero"/>
        <c:auto val="1"/>
        <c:lblAlgn val="ctr"/>
        <c:lblOffset val="100"/>
        <c:noMultiLvlLbl val="0"/>
      </c:catAx>
      <c:valAx>
        <c:axId val="7317536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pt-BR"/>
          </a:p>
        </c:txPr>
        <c:crossAx val="739520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400" b="1" i="0" u="none" strike="noStrike" baseline="0">
                <a:solidFill>
                  <a:schemeClr val="tx1"/>
                </a:solidFill>
              </a:rPr>
              <a:t>TOP 10 TOMATO-PRODUCING STATES IN BRAZIL — 2023</a:t>
            </a:r>
            <a:endParaRPr lang="pt-BR"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1"/>
            </a:solidFill>
            <a:ln>
              <a:noFill/>
            </a:ln>
            <a:effectLst/>
          </c:spPr>
          <c:invertIfNegative val="0"/>
          <c:cat>
            <c:strRef>
              <c:f>'2023 State Analysis'!$A$7:$A$16</c:f>
              <c:strCache>
                <c:ptCount val="10"/>
                <c:pt idx="0">
                  <c:v>Goiás</c:v>
                </c:pt>
                <c:pt idx="1">
                  <c:v>São Paulo</c:v>
                </c:pt>
                <c:pt idx="2">
                  <c:v>Minas Gerais</c:v>
                </c:pt>
                <c:pt idx="3">
                  <c:v>Bahia</c:v>
                </c:pt>
                <c:pt idx="4">
                  <c:v>Paraná</c:v>
                </c:pt>
                <c:pt idx="5">
                  <c:v>Ceará</c:v>
                </c:pt>
                <c:pt idx="6">
                  <c:v>Espírito Santo</c:v>
                </c:pt>
                <c:pt idx="7">
                  <c:v>Santa Catarina</c:v>
                </c:pt>
                <c:pt idx="8">
                  <c:v>Rio de Janeiro</c:v>
                </c:pt>
                <c:pt idx="9">
                  <c:v>Pernambuco</c:v>
                </c:pt>
              </c:strCache>
            </c:strRef>
          </c:cat>
          <c:val>
            <c:numRef>
              <c:f>'2023 State Analysis'!$B$7:$B$16</c:f>
              <c:numCache>
                <c:formatCode>General</c:formatCode>
                <c:ptCount val="10"/>
                <c:pt idx="0">
                  <c:v>1242457</c:v>
                </c:pt>
                <c:pt idx="1">
                  <c:v>867414</c:v>
                </c:pt>
                <c:pt idx="2">
                  <c:v>561786</c:v>
                </c:pt>
                <c:pt idx="3">
                  <c:v>343195</c:v>
                </c:pt>
                <c:pt idx="4">
                  <c:v>228912</c:v>
                </c:pt>
                <c:pt idx="5">
                  <c:v>184799</c:v>
                </c:pt>
                <c:pt idx="6">
                  <c:v>151594</c:v>
                </c:pt>
                <c:pt idx="7">
                  <c:v>135597</c:v>
                </c:pt>
                <c:pt idx="8">
                  <c:v>128118</c:v>
                </c:pt>
                <c:pt idx="9">
                  <c:v>120357</c:v>
                </c:pt>
              </c:numCache>
            </c:numRef>
          </c:val>
          <c:extLst>
            <c:ext xmlns:c16="http://schemas.microsoft.com/office/drawing/2014/chart" uri="{C3380CC4-5D6E-409C-BE32-E72D297353CC}">
              <c16:uniqueId val="{00000000-A90E-43ED-BC7E-30519D1AFAB8}"/>
            </c:ext>
          </c:extLst>
        </c:ser>
        <c:dLbls>
          <c:showLegendKey val="0"/>
          <c:showVal val="0"/>
          <c:showCatName val="0"/>
          <c:showSerName val="0"/>
          <c:showPercent val="0"/>
          <c:showBubbleSize val="0"/>
        </c:dLbls>
        <c:gapWidth val="219"/>
        <c:overlap val="-27"/>
        <c:axId val="104903040"/>
        <c:axId val="104900160"/>
      </c:barChart>
      <c:catAx>
        <c:axId val="10490304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pt-BR" b="1"/>
                  <a:t>STATES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04900160"/>
        <c:crosses val="autoZero"/>
        <c:auto val="1"/>
        <c:lblAlgn val="ctr"/>
        <c:lblOffset val="100"/>
        <c:noMultiLvlLbl val="0"/>
      </c:catAx>
      <c:valAx>
        <c:axId val="104900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pt-BR" b="1"/>
                  <a:t>TOMATO</a:t>
                </a:r>
                <a:r>
                  <a:rPr lang="pt-BR" b="1" baseline="0"/>
                  <a:t> PRODUCTION (t)</a:t>
                </a:r>
                <a:endParaRPr lang="pt-BR"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04903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400" b="0" i="0" u="none" strike="noStrike" baseline="0">
                <a:solidFill>
                  <a:schemeClr val="tx1"/>
                </a:solidFill>
              </a:rPr>
              <a:t>HARVESTED AREA OF TOMATOES IN BRAZIL (2014–2023)</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1"/>
          <c:order val="0"/>
          <c:tx>
            <c:strRef>
              <c:f>'Harvested Area Analysis'!$B$1</c:f>
              <c:strCache>
                <c:ptCount val="1"/>
                <c:pt idx="0">
                  <c:v>HARVESTED AREA (ha)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'Harvested Area Analysis'!$A$2:$A$11</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'Harvested Area Analysis'!$B$2:$B$11</c:f>
              <c:numCache>
                <c:formatCode>General</c:formatCode>
                <c:ptCount val="10"/>
                <c:pt idx="0">
                  <c:v>64363</c:v>
                </c:pt>
                <c:pt idx="1">
                  <c:v>63572</c:v>
                </c:pt>
                <c:pt idx="2">
                  <c:v>63995</c:v>
                </c:pt>
                <c:pt idx="3">
                  <c:v>61403</c:v>
                </c:pt>
                <c:pt idx="4">
                  <c:v>57388</c:v>
                </c:pt>
                <c:pt idx="5">
                  <c:v>54591</c:v>
                </c:pt>
                <c:pt idx="6">
                  <c:v>52006</c:v>
                </c:pt>
                <c:pt idx="7">
                  <c:v>51908</c:v>
                </c:pt>
                <c:pt idx="8">
                  <c:v>54341</c:v>
                </c:pt>
                <c:pt idx="9">
                  <c:v>59010</c:v>
                </c:pt>
              </c:numCache>
            </c:numRef>
          </c:val>
          <c:smooth val="0"/>
          <c:extLst>
            <c:ext xmlns:c16="http://schemas.microsoft.com/office/drawing/2014/chart" uri="{C3380CC4-5D6E-409C-BE32-E72D297353CC}">
              <c16:uniqueId val="{00000001-3EBE-4203-B915-E6D7CD72DAE9}"/>
            </c:ext>
          </c:extLst>
        </c:ser>
        <c:dLbls>
          <c:showLegendKey val="0"/>
          <c:showVal val="0"/>
          <c:showCatName val="0"/>
          <c:showSerName val="0"/>
          <c:showPercent val="0"/>
          <c:showBubbleSize val="0"/>
        </c:dLbls>
        <c:marker val="1"/>
        <c:smooth val="0"/>
        <c:axId val="588884984"/>
        <c:axId val="588876704"/>
      </c:lineChart>
      <c:catAx>
        <c:axId val="588884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88876704"/>
        <c:crosses val="autoZero"/>
        <c:auto val="1"/>
        <c:lblAlgn val="ctr"/>
        <c:lblOffset val="100"/>
        <c:noMultiLvlLbl val="0"/>
      </c:catAx>
      <c:valAx>
        <c:axId val="588876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88884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solidFill>
                  <a:schemeClr val="tx1"/>
                </a:solidFill>
              </a:rPr>
              <a:t>TOP</a:t>
            </a:r>
            <a:r>
              <a:rPr lang="pt-BR" baseline="0">
                <a:solidFill>
                  <a:schemeClr val="tx1"/>
                </a:solidFill>
              </a:rPr>
              <a:t> 10 STATES BY TOMATO YIELD- 2023</a:t>
            </a:r>
            <a:endParaRPr lang="pt-BR">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'yield analysis'!$B$1:$B$4</c:f>
              <c:strCache>
                <c:ptCount val="4"/>
                <c:pt idx="0">
                  <c:v>YIELD 2023 (kg/ha)</c:v>
                </c:pt>
                <c:pt idx="1">
                  <c:v>-</c:v>
                </c:pt>
                <c:pt idx="2">
                  <c:v>-</c:v>
                </c:pt>
                <c:pt idx="3">
                  <c:v>-</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'yield analysis'!$A$5:$A$14</c:f>
              <c:strCache>
                <c:ptCount val="10"/>
                <c:pt idx="0">
                  <c:v>Goiás</c:v>
                </c:pt>
                <c:pt idx="1">
                  <c:v>Distrito Federal</c:v>
                </c:pt>
                <c:pt idx="2">
                  <c:v>São Paulo</c:v>
                </c:pt>
                <c:pt idx="3">
                  <c:v>Minas Gerais</c:v>
                </c:pt>
                <c:pt idx="4">
                  <c:v>Ceará</c:v>
                </c:pt>
                <c:pt idx="5">
                  <c:v>Santa Catarina</c:v>
                </c:pt>
                <c:pt idx="6">
                  <c:v>Rio de Janeiro</c:v>
                </c:pt>
                <c:pt idx="7">
                  <c:v>Espírito Santo</c:v>
                </c:pt>
                <c:pt idx="8">
                  <c:v>Paraná</c:v>
                </c:pt>
                <c:pt idx="9">
                  <c:v>Bahia</c:v>
                </c:pt>
              </c:strCache>
            </c:strRef>
          </c:cat>
          <c:val>
            <c:numRef>
              <c:f>'yield analysis'!$B$5:$B$14</c:f>
              <c:numCache>
                <c:formatCode>General</c:formatCode>
                <c:ptCount val="10"/>
                <c:pt idx="0">
                  <c:v>85752</c:v>
                </c:pt>
                <c:pt idx="1">
                  <c:v>80000</c:v>
                </c:pt>
                <c:pt idx="2">
                  <c:v>75592</c:v>
                </c:pt>
                <c:pt idx="3">
                  <c:v>75055</c:v>
                </c:pt>
                <c:pt idx="4">
                  <c:v>72470</c:v>
                </c:pt>
                <c:pt idx="5">
                  <c:v>68037</c:v>
                </c:pt>
                <c:pt idx="6">
                  <c:v>65601</c:v>
                </c:pt>
                <c:pt idx="7">
                  <c:v>64453</c:v>
                </c:pt>
                <c:pt idx="8">
                  <c:v>63375</c:v>
                </c:pt>
                <c:pt idx="9">
                  <c:v>56023</c:v>
                </c:pt>
              </c:numCache>
            </c:numRef>
          </c:val>
          <c:extLst>
            <c:ext xmlns:c16="http://schemas.microsoft.com/office/drawing/2014/chart" uri="{C3380CC4-5D6E-409C-BE32-E72D297353CC}">
              <c16:uniqueId val="{00000000-0B01-4166-84AA-7D153F617DE8}"/>
            </c:ext>
          </c:extLst>
        </c:ser>
        <c:dLbls>
          <c:showLegendKey val="0"/>
          <c:showVal val="0"/>
          <c:showCatName val="0"/>
          <c:showSerName val="0"/>
          <c:showPercent val="0"/>
          <c:showBubbleSize val="0"/>
        </c:dLbls>
        <c:gapWidth val="219"/>
        <c:overlap val="-27"/>
        <c:axId val="396943304"/>
        <c:axId val="396949064"/>
      </c:barChart>
      <c:catAx>
        <c:axId val="396943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96949064"/>
        <c:crosses val="autoZero"/>
        <c:auto val="1"/>
        <c:lblAlgn val="ctr"/>
        <c:lblOffset val="100"/>
        <c:noMultiLvlLbl val="0"/>
      </c:catAx>
      <c:valAx>
        <c:axId val="396949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96943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xdr:colOff>
      <xdr:row>10</xdr:row>
      <xdr:rowOff>163565</xdr:rowOff>
    </xdr:from>
    <xdr:to>
      <xdr:col>5</xdr:col>
      <xdr:colOff>89647</xdr:colOff>
      <xdr:row>27</xdr:row>
      <xdr:rowOff>54430</xdr:rowOff>
    </xdr:to>
    <xdr:graphicFrame macro="">
      <xdr:nvGraphicFramePr>
        <xdr:cNvPr id="2" name="Gráfico 1">
          <a:extLst>
            <a:ext uri="{FF2B5EF4-FFF2-40B4-BE49-F238E27FC236}">
              <a16:creationId xmlns:a16="http://schemas.microsoft.com/office/drawing/2014/main" id="{D94E5207-6704-4DBA-9E30-61567221EB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xdr:row>
      <xdr:rowOff>62366</xdr:rowOff>
    </xdr:from>
    <xdr:to>
      <xdr:col>5</xdr:col>
      <xdr:colOff>107576</xdr:colOff>
      <xdr:row>56</xdr:row>
      <xdr:rowOff>99495</xdr:rowOff>
    </xdr:to>
    <xdr:graphicFrame macro="">
      <xdr:nvGraphicFramePr>
        <xdr:cNvPr id="3" name="Gráfico 2">
          <a:extLst>
            <a:ext uri="{FF2B5EF4-FFF2-40B4-BE49-F238E27FC236}">
              <a16:creationId xmlns:a16="http://schemas.microsoft.com/office/drawing/2014/main" id="{A2D3D639-78E4-4654-BA28-41A7C8A9F5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101480</xdr:colOff>
      <xdr:row>73</xdr:row>
      <xdr:rowOff>125580</xdr:rowOff>
    </xdr:from>
    <xdr:to>
      <xdr:col>4</xdr:col>
      <xdr:colOff>197950</xdr:colOff>
      <xdr:row>75</xdr:row>
      <xdr:rowOff>50052</xdr:rowOff>
    </xdr:to>
    <xdr:sp macro="" textlink="">
      <xdr:nvSpPr>
        <xdr:cNvPr id="6" name="CaixaDeTexto 5">
          <a:extLst>
            <a:ext uri="{FF2B5EF4-FFF2-40B4-BE49-F238E27FC236}">
              <a16:creationId xmlns:a16="http://schemas.microsoft.com/office/drawing/2014/main" id="{C21E016B-41D5-A8AB-380B-00486F66AB94}"/>
            </a:ext>
          </a:extLst>
        </xdr:cNvPr>
        <xdr:cNvSpPr txBox="1"/>
      </xdr:nvSpPr>
      <xdr:spPr>
        <a:xfrm>
          <a:off x="1843194" y="13814366"/>
          <a:ext cx="3861113" cy="2873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a:t>Source: IBGE – SIDRA, Municipal Agricultural Production (PAM).</a:t>
          </a:r>
          <a:endParaRPr lang="pt-BR" sz="1100"/>
        </a:p>
      </xdr:txBody>
    </xdr:sp>
    <xdr:clientData/>
  </xdr:twoCellAnchor>
  <xdr:twoCellAnchor>
    <xdr:from>
      <xdr:col>0</xdr:col>
      <xdr:colOff>0</xdr:colOff>
      <xdr:row>56</xdr:row>
      <xdr:rowOff>119613</xdr:rowOff>
    </xdr:from>
    <xdr:to>
      <xdr:col>2</xdr:col>
      <xdr:colOff>873620</xdr:colOff>
      <xdr:row>73</xdr:row>
      <xdr:rowOff>58540</xdr:rowOff>
    </xdr:to>
    <xdr:graphicFrame macro="">
      <xdr:nvGraphicFramePr>
        <xdr:cNvPr id="5" name="Gráfico 4">
          <a:extLst>
            <a:ext uri="{FF2B5EF4-FFF2-40B4-BE49-F238E27FC236}">
              <a16:creationId xmlns:a16="http://schemas.microsoft.com/office/drawing/2014/main" id="{2102F56E-B0B8-4355-A3CE-903FB794D9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866175</xdr:colOff>
      <xdr:row>56</xdr:row>
      <xdr:rowOff>105989</xdr:rowOff>
    </xdr:from>
    <xdr:to>
      <xdr:col>5</xdr:col>
      <xdr:colOff>129965</xdr:colOff>
      <xdr:row>73</xdr:row>
      <xdr:rowOff>38385</xdr:rowOff>
    </xdr:to>
    <xdr:graphicFrame macro="">
      <xdr:nvGraphicFramePr>
        <xdr:cNvPr id="7" name="Gráfico 6">
          <a:extLst>
            <a:ext uri="{FF2B5EF4-FFF2-40B4-BE49-F238E27FC236}">
              <a16:creationId xmlns:a16="http://schemas.microsoft.com/office/drawing/2014/main" id="{B18E1E27-E45D-46A0-8726-F3551566D2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103010</xdr:colOff>
      <xdr:row>14</xdr:row>
      <xdr:rowOff>135936</xdr:rowOff>
    </xdr:from>
    <xdr:to>
      <xdr:col>8</xdr:col>
      <xdr:colOff>829262</xdr:colOff>
      <xdr:row>42</xdr:row>
      <xdr:rowOff>135937</xdr:rowOff>
    </xdr:to>
    <xdr:graphicFrame macro="">
      <xdr:nvGraphicFramePr>
        <xdr:cNvPr id="10" name="Gráfico 9">
          <a:extLst>
            <a:ext uri="{FF2B5EF4-FFF2-40B4-BE49-F238E27FC236}">
              <a16:creationId xmlns:a16="http://schemas.microsoft.com/office/drawing/2014/main" id="{AB4A862A-C387-34BB-A131-ECDF8726F0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40224</xdr:colOff>
      <xdr:row>1</xdr:row>
      <xdr:rowOff>7751</xdr:rowOff>
    </xdr:from>
    <xdr:to>
      <xdr:col>11</xdr:col>
      <xdr:colOff>173217</xdr:colOff>
      <xdr:row>17</xdr:row>
      <xdr:rowOff>141523</xdr:rowOff>
    </xdr:to>
    <xdr:graphicFrame macro="">
      <xdr:nvGraphicFramePr>
        <xdr:cNvPr id="3" name="Gráfico 2">
          <a:extLst>
            <a:ext uri="{FF2B5EF4-FFF2-40B4-BE49-F238E27FC236}">
              <a16:creationId xmlns:a16="http://schemas.microsoft.com/office/drawing/2014/main" id="{5C0F7679-F062-9BE9-BBB2-DC8ED18DDE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87630</xdr:colOff>
      <xdr:row>11</xdr:row>
      <xdr:rowOff>102870</xdr:rowOff>
    </xdr:from>
    <xdr:to>
      <xdr:col>5</xdr:col>
      <xdr:colOff>339090</xdr:colOff>
      <xdr:row>26</xdr:row>
      <xdr:rowOff>102870</xdr:rowOff>
    </xdr:to>
    <xdr:graphicFrame macro="">
      <xdr:nvGraphicFramePr>
        <xdr:cNvPr id="2" name="Gráfico 1">
          <a:extLst>
            <a:ext uri="{FF2B5EF4-FFF2-40B4-BE49-F238E27FC236}">
              <a16:creationId xmlns:a16="http://schemas.microsoft.com/office/drawing/2014/main" id="{44E9A9E7-D813-0FB4-6E46-37D50182EC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719882</xdr:colOff>
      <xdr:row>10</xdr:row>
      <xdr:rowOff>159028</xdr:rowOff>
    </xdr:from>
    <xdr:to>
      <xdr:col>8</xdr:col>
      <xdr:colOff>231366</xdr:colOff>
      <xdr:row>25</xdr:row>
      <xdr:rowOff>159028</xdr:rowOff>
    </xdr:to>
    <xdr:graphicFrame macro="">
      <xdr:nvGraphicFramePr>
        <xdr:cNvPr id="3" name="Gráfico 2">
          <a:extLst>
            <a:ext uri="{FF2B5EF4-FFF2-40B4-BE49-F238E27FC236}">
              <a16:creationId xmlns:a16="http://schemas.microsoft.com/office/drawing/2014/main" id="{CCA17872-38C9-276A-58E2-192454DF0A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86E56-AC01-430F-90BC-F7574F2D715F}">
  <sheetPr>
    <pageSetUpPr autoPageBreaks="0"/>
  </sheetPr>
  <dimension ref="A1:N12"/>
  <sheetViews>
    <sheetView showGridLines="0" tabSelected="1" topLeftCell="A65" zoomScale="84" zoomScaleNormal="70" workbookViewId="0">
      <selection activeCell="E84" sqref="E84"/>
    </sheetView>
  </sheetViews>
  <sheetFormatPr defaultRowHeight="14.4"/>
  <cols>
    <col min="1" max="1" width="25.33203125" customWidth="1"/>
    <col min="2" max="2" width="16.88671875" bestFit="1" customWidth="1"/>
    <col min="3" max="3" width="17.6640625" bestFit="1" customWidth="1"/>
    <col min="4" max="4" width="20.21875" customWidth="1"/>
    <col min="5" max="5" width="17.5546875" customWidth="1"/>
    <col min="6" max="6" width="24.77734375" customWidth="1"/>
  </cols>
  <sheetData>
    <row r="1" spans="1:14" ht="30" customHeight="1">
      <c r="A1" s="17" t="s">
        <v>118</v>
      </c>
      <c r="B1" s="17"/>
      <c r="C1" s="17"/>
      <c r="D1" s="17"/>
    </row>
    <row r="2" spans="1:14" ht="27.6">
      <c r="A2" s="19" t="s">
        <v>121</v>
      </c>
      <c r="B2" s="19" t="s">
        <v>119</v>
      </c>
      <c r="C2" s="19" t="s">
        <v>120</v>
      </c>
      <c r="D2" s="20" t="s">
        <v>122</v>
      </c>
    </row>
    <row r="3" spans="1:14" ht="18">
      <c r="A3" s="21">
        <f>analysis!F2</f>
        <v>4032382.9</v>
      </c>
      <c r="B3" s="21">
        <f>analysis!D2</f>
        <v>4302777</v>
      </c>
      <c r="C3" s="21">
        <f>analysis!E2</f>
        <v>3679256</v>
      </c>
      <c r="D3" s="22">
        <f>analysis!G2</f>
        <v>-3.1784124531668734E-2</v>
      </c>
    </row>
    <row r="4" spans="1:14" ht="7.95" customHeight="1">
      <c r="A4" s="18"/>
      <c r="B4" s="18"/>
      <c r="C4" s="18"/>
      <c r="D4" s="38"/>
      <c r="E4" s="10"/>
    </row>
    <row r="5" spans="1:14" ht="7.95" customHeight="1">
      <c r="A5" s="11"/>
      <c r="B5" s="11"/>
      <c r="C5" s="23"/>
      <c r="D5" s="10"/>
      <c r="E5" s="10"/>
    </row>
    <row r="6" spans="1:14" ht="7.95" customHeight="1">
      <c r="A6" s="14"/>
      <c r="B6" s="14"/>
      <c r="C6" s="14"/>
      <c r="D6" s="24"/>
    </row>
    <row r="7" spans="1:14" ht="18">
      <c r="A7" s="18" t="s">
        <v>96</v>
      </c>
      <c r="B7" s="18"/>
      <c r="C7" s="18"/>
      <c r="D7" s="38"/>
    </row>
    <row r="8" spans="1:14" ht="18">
      <c r="A8" s="12">
        <v>2021</v>
      </c>
      <c r="B8" s="12" t="s">
        <v>93</v>
      </c>
      <c r="C8" s="16">
        <v>2022</v>
      </c>
      <c r="D8" s="35" t="s">
        <v>111</v>
      </c>
      <c r="E8" s="13" t="s">
        <v>113</v>
      </c>
      <c r="F8" s="13"/>
    </row>
    <row r="9" spans="1:14" ht="28.8">
      <c r="A9" s="15" t="s">
        <v>115</v>
      </c>
      <c r="B9" s="33" t="s">
        <v>116</v>
      </c>
      <c r="C9" s="34" t="s">
        <v>117</v>
      </c>
      <c r="D9" s="37" t="s">
        <v>112</v>
      </c>
      <c r="E9" s="36" t="s">
        <v>114</v>
      </c>
      <c r="F9" s="36"/>
      <c r="N9" s="32"/>
    </row>
    <row r="12" spans="1:14">
      <c r="H12" t="s">
        <v>92</v>
      </c>
    </row>
  </sheetData>
  <mergeCells count="3">
    <mergeCell ref="A1:D1"/>
    <mergeCell ref="A4:D4"/>
    <mergeCell ref="A7:D7"/>
  </mergeCells>
  <pageMargins left="0.511811024" right="0.511811024" top="0.78740157499999996" bottom="0.78740157499999996" header="0.31496062000000002" footer="0.31496062000000002"/>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F58CC-7910-4B85-8929-7D1760377544}">
  <dimension ref="A1:T82"/>
  <sheetViews>
    <sheetView zoomScale="59" zoomScaleNormal="58" workbookViewId="0">
      <selection activeCell="E76" sqref="E76:AJ84"/>
    </sheetView>
  </sheetViews>
  <sheetFormatPr defaultRowHeight="14.4"/>
  <cols>
    <col min="1" max="1" width="10.77734375" customWidth="1"/>
    <col min="2" max="2" width="24.5546875" customWidth="1"/>
    <col min="3" max="3" width="21.5546875" customWidth="1"/>
    <col min="4" max="4" width="28.109375" customWidth="1"/>
    <col min="5" max="5" width="32.6640625" customWidth="1"/>
    <col min="6" max="6" width="22.44140625" customWidth="1"/>
    <col min="7" max="7" width="28.77734375" customWidth="1"/>
    <col min="8" max="8" width="34.88671875" customWidth="1"/>
    <col min="9" max="9" width="39.33203125" customWidth="1"/>
    <col min="10" max="10" width="74.77734375" customWidth="1"/>
  </cols>
  <sheetData>
    <row r="1" spans="1:20">
      <c r="A1" s="2" t="s">
        <v>74</v>
      </c>
      <c r="B1" s="2" t="s">
        <v>75</v>
      </c>
      <c r="C1" s="2" t="s">
        <v>76</v>
      </c>
      <c r="D1" s="2" t="s">
        <v>77</v>
      </c>
      <c r="E1" s="2" t="s">
        <v>79</v>
      </c>
      <c r="F1" s="2" t="s">
        <v>81</v>
      </c>
      <c r="G1" s="2" t="s">
        <v>82</v>
      </c>
      <c r="H1" s="2" t="s">
        <v>83</v>
      </c>
      <c r="I1" s="2" t="s">
        <v>84</v>
      </c>
      <c r="J1" s="2" t="s">
        <v>87</v>
      </c>
    </row>
    <row r="2" spans="1:20" ht="15" customHeight="1">
      <c r="A2" s="2" t="s">
        <v>4</v>
      </c>
      <c r="B2" s="2">
        <f>SUM( 'Raw Data - Production'!C6:C33)</f>
        <v>4302777</v>
      </c>
      <c r="C2" s="2"/>
      <c r="D2" s="2">
        <f>(MAX(B2:B11))</f>
        <v>4302777</v>
      </c>
      <c r="E2" s="2">
        <f>MIN(B2:B11)</f>
        <v>3679256</v>
      </c>
      <c r="F2" s="2">
        <f>AVERAGE(B2:B11)</f>
        <v>4032382.9</v>
      </c>
      <c r="G2" s="4">
        <f>(B11-B2)/B2</f>
        <v>-3.1784124531668734E-2</v>
      </c>
      <c r="H2" s="7">
        <f>MAX(C3:C11)</f>
        <v>9.8985592426263272E-2</v>
      </c>
      <c r="I2" s="7">
        <f>MIN(C3:C11)</f>
        <v>-4.9913157004575735E-2</v>
      </c>
      <c r="J2" s="2" t="s">
        <v>91</v>
      </c>
      <c r="K2" s="9"/>
      <c r="L2" s="9"/>
      <c r="M2" s="9"/>
      <c r="N2" s="9"/>
      <c r="O2" s="9"/>
      <c r="P2" s="9"/>
      <c r="Q2" s="9"/>
      <c r="R2" s="9"/>
      <c r="S2" s="9"/>
      <c r="T2" s="9"/>
    </row>
    <row r="3" spans="1:20" ht="15" customHeight="1">
      <c r="A3" s="2" t="s">
        <v>5</v>
      </c>
      <c r="B3" s="2">
        <f xml:space="preserve"> SUM('Raw Data - Production'!E6:E33)</f>
        <v>4187729</v>
      </c>
      <c r="C3" s="4">
        <f>(B3-B2)/B2</f>
        <v>-2.6738081011402636E-2</v>
      </c>
      <c r="D3" s="6" t="s">
        <v>78</v>
      </c>
      <c r="E3" s="6" t="s">
        <v>80</v>
      </c>
      <c r="F3" s="5"/>
      <c r="G3" s="2"/>
      <c r="H3" s="6" t="s">
        <v>85</v>
      </c>
      <c r="I3" s="6" t="s">
        <v>86</v>
      </c>
      <c r="J3" s="3" t="s">
        <v>88</v>
      </c>
      <c r="K3" s="9"/>
      <c r="L3" s="9"/>
      <c r="M3" s="9"/>
      <c r="N3" s="9"/>
      <c r="O3" s="9"/>
      <c r="P3" s="9"/>
      <c r="Q3" s="9"/>
      <c r="R3" s="9"/>
      <c r="S3" s="9"/>
      <c r="T3" s="9"/>
    </row>
    <row r="4" spans="1:20" ht="15" customHeight="1">
      <c r="A4" s="2" t="s">
        <v>6</v>
      </c>
      <c r="B4" s="2">
        <f>SUM('Raw Data - Production'!G6:G33)</f>
        <v>4166789</v>
      </c>
      <c r="C4" s="4">
        <f t="shared" ref="C4:C11" si="0">(B4-B3)/B3</f>
        <v>-5.0003235643949259E-3</v>
      </c>
      <c r="D4" s="2" t="str">
        <f>INDEX(A2:A11,MATCH(D2,B2:B11,0))</f>
        <v>2014</v>
      </c>
      <c r="E4" s="2" t="str">
        <f>INDEX(A2:A11,MATCH(E2,B2:B11,0))</f>
        <v>2021</v>
      </c>
      <c r="F4" s="5"/>
      <c r="G4" s="2"/>
      <c r="H4" s="3" t="str">
        <f>INDEX(A3:A11,MATCH(H2,C3:C11,0))</f>
        <v>2023</v>
      </c>
      <c r="I4" s="6" t="str">
        <f>INDEX(A3:A11,MATCH(I2,C3:C11,0))</f>
        <v>2019</v>
      </c>
      <c r="J4" s="3" t="s">
        <v>89</v>
      </c>
      <c r="K4" s="9"/>
      <c r="L4" s="9"/>
      <c r="M4" s="9"/>
      <c r="N4" s="9"/>
      <c r="O4" s="9"/>
      <c r="P4" s="9"/>
      <c r="Q4" s="9"/>
      <c r="R4" s="9"/>
      <c r="S4" s="9"/>
      <c r="T4" s="9"/>
    </row>
    <row r="5" spans="1:20" ht="15" customHeight="1">
      <c r="A5" s="2" t="s">
        <v>7</v>
      </c>
      <c r="B5" s="2">
        <f>SUM('Raw Data - Production'!I6:I33)</f>
        <v>4225414</v>
      </c>
      <c r="C5" s="4">
        <f t="shared" si="0"/>
        <v>1.4069586916928119E-2</v>
      </c>
      <c r="D5" s="2"/>
      <c r="E5" s="2"/>
      <c r="F5" s="5"/>
      <c r="G5" s="2"/>
      <c r="H5" s="2"/>
      <c r="I5" s="6"/>
      <c r="J5" s="3" t="s">
        <v>90</v>
      </c>
      <c r="K5" s="9"/>
      <c r="L5" s="9"/>
      <c r="M5" s="9"/>
      <c r="N5" s="9"/>
      <c r="O5" s="9"/>
      <c r="P5" s="9"/>
      <c r="Q5" s="9"/>
      <c r="R5" s="9"/>
      <c r="S5" s="9"/>
      <c r="T5" s="9"/>
    </row>
    <row r="6" spans="1:20" ht="15" customHeight="1">
      <c r="A6" s="2" t="s">
        <v>8</v>
      </c>
      <c r="B6" s="2">
        <f>SUM('Raw Data - Production'!K6:K33)</f>
        <v>4126988</v>
      </c>
      <c r="C6" s="4">
        <f t="shared" si="0"/>
        <v>-2.3293812156631278E-2</v>
      </c>
      <c r="D6" s="2"/>
      <c r="E6" s="2"/>
      <c r="F6" s="5"/>
      <c r="G6" s="2"/>
      <c r="H6" s="2"/>
      <c r="I6" s="6"/>
      <c r="J6" s="6"/>
    </row>
    <row r="7" spans="1:20" ht="15" customHeight="1">
      <c r="A7" s="2" t="s">
        <v>9</v>
      </c>
      <c r="B7" s="2">
        <f>SUM('Raw Data - Production'!M6:M33)</f>
        <v>3920997</v>
      </c>
      <c r="C7" s="4">
        <f t="shared" si="0"/>
        <v>-4.9913157004575735E-2</v>
      </c>
      <c r="D7" s="2"/>
      <c r="E7" s="2"/>
      <c r="F7" s="5"/>
      <c r="G7" s="2"/>
      <c r="H7" s="2"/>
      <c r="I7" s="6"/>
      <c r="J7" s="6"/>
    </row>
    <row r="8" spans="1:20" ht="15" customHeight="1">
      <c r="A8" s="2" t="s">
        <v>10</v>
      </c>
      <c r="B8" s="2">
        <f>SUM( 'Raw Data - Production'!O6:O33)</f>
        <v>3757078</v>
      </c>
      <c r="C8" s="4">
        <f t="shared" si="0"/>
        <v>-4.180543876978228E-2</v>
      </c>
      <c r="D8" s="2"/>
      <c r="E8" s="2"/>
      <c r="F8" s="5"/>
      <c r="G8" s="2"/>
      <c r="H8" s="2"/>
      <c r="I8" s="6"/>
      <c r="J8" s="6"/>
    </row>
    <row r="9" spans="1:20" ht="15" customHeight="1">
      <c r="A9" s="2" t="s">
        <v>11</v>
      </c>
      <c r="B9" s="2">
        <f>SUM('Raw Data - Production'!Q6:Q33)</f>
        <v>3679256</v>
      </c>
      <c r="C9" s="4">
        <f t="shared" si="0"/>
        <v>-2.0713437410668611E-2</v>
      </c>
      <c r="D9" s="2"/>
      <c r="E9" s="2"/>
      <c r="F9" s="5"/>
      <c r="G9" s="2"/>
      <c r="H9" s="2"/>
      <c r="I9" s="6"/>
      <c r="J9" s="6"/>
    </row>
    <row r="10" spans="1:20" ht="15" customHeight="1">
      <c r="A10" s="2" t="s">
        <v>12</v>
      </c>
      <c r="B10" s="2">
        <f>SUM('Raw Data - Production'!S6:S32)</f>
        <v>3790784</v>
      </c>
      <c r="C10" s="4">
        <f t="shared" si="0"/>
        <v>3.031265016622926E-2</v>
      </c>
      <c r="D10" s="2"/>
      <c r="E10" s="2"/>
      <c r="F10" s="5"/>
      <c r="G10" s="2"/>
      <c r="H10" s="2"/>
      <c r="I10" s="6"/>
      <c r="J10" s="6"/>
    </row>
    <row r="11" spans="1:20">
      <c r="A11" s="2" t="s">
        <v>13</v>
      </c>
      <c r="B11" s="2">
        <f>SUM('Raw Data - Production'!U6:U33)</f>
        <v>4166017</v>
      </c>
      <c r="C11" s="4">
        <f t="shared" si="0"/>
        <v>9.8985592426263272E-2</v>
      </c>
      <c r="D11" s="2"/>
      <c r="E11" s="2"/>
      <c r="F11" s="5"/>
      <c r="G11" s="2"/>
      <c r="H11" s="2"/>
      <c r="I11" s="6"/>
      <c r="J11" s="6"/>
    </row>
    <row r="12" spans="1:20">
      <c r="G12" s="2"/>
      <c r="H12" s="2"/>
      <c r="I12" s="6"/>
      <c r="J12" s="6"/>
    </row>
    <row r="80" spans="5:5">
      <c r="E80" s="1"/>
    </row>
    <row r="82" spans="5:16">
      <c r="E82" s="1"/>
      <c r="P82" s="8"/>
    </row>
  </sheetData>
  <mergeCells count="20">
    <mergeCell ref="M2:N2"/>
    <mergeCell ref="O2:P2"/>
    <mergeCell ref="Q2:R2"/>
    <mergeCell ref="S2:T2"/>
    <mergeCell ref="K2:L2"/>
    <mergeCell ref="M3:N3"/>
    <mergeCell ref="O3:P3"/>
    <mergeCell ref="Q3:R3"/>
    <mergeCell ref="S3:T3"/>
    <mergeCell ref="K3:L3"/>
    <mergeCell ref="M4:N4"/>
    <mergeCell ref="O4:P4"/>
    <mergeCell ref="Q4:R4"/>
    <mergeCell ref="S4:T4"/>
    <mergeCell ref="K4:L4"/>
    <mergeCell ref="M5:N5"/>
    <mergeCell ref="O5:P5"/>
    <mergeCell ref="Q5:R5"/>
    <mergeCell ref="S5:T5"/>
    <mergeCell ref="K5:L5"/>
  </mergeCells>
  <conditionalFormatting sqref="C3:C11">
    <cfRule type="colorScale" priority="1">
      <colorScale>
        <cfvo type="min"/>
        <cfvo type="percentile" val="50"/>
        <cfvo type="max"/>
        <color rgb="FFF8696B"/>
        <color rgb="FFFFEB84"/>
        <color rgb="FF63BE7B"/>
      </colorScale>
    </cfRule>
  </conditionalFormatting>
  <pageMargins left="0.511811024" right="0.511811024" top="0.78740157499999996" bottom="0.78740157499999996" header="0.31496062000000002" footer="0.3149606200000000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61DE5-FC92-48D0-A559-5EBE468BBCC6}">
  <dimension ref="A2:Q30"/>
  <sheetViews>
    <sheetView zoomScale="66" workbookViewId="0">
      <selection activeCell="B40" sqref="B40"/>
    </sheetView>
  </sheetViews>
  <sheetFormatPr defaultRowHeight="14.4"/>
  <cols>
    <col min="1" max="1" width="19.44140625" customWidth="1"/>
    <col min="2" max="2" width="26.44140625" customWidth="1"/>
  </cols>
  <sheetData>
    <row r="2" spans="1:2">
      <c r="A2" s="1"/>
      <c r="B2" s="1"/>
    </row>
    <row r="3" spans="1:2">
      <c r="A3" s="25" t="s">
        <v>94</v>
      </c>
      <c r="B3" s="25" t="s">
        <v>95</v>
      </c>
    </row>
    <row r="4" spans="1:2">
      <c r="A4" s="2" t="s">
        <v>17</v>
      </c>
      <c r="B4" s="3" t="s">
        <v>18</v>
      </c>
    </row>
    <row r="5" spans="1:2">
      <c r="A5" s="2" t="s">
        <v>22</v>
      </c>
      <c r="B5" s="3" t="s">
        <v>18</v>
      </c>
    </row>
    <row r="6" spans="1:2">
      <c r="A6" s="2" t="s">
        <v>23</v>
      </c>
      <c r="B6" s="3" t="s">
        <v>18</v>
      </c>
    </row>
    <row r="7" spans="1:2">
      <c r="A7" s="2" t="s">
        <v>44</v>
      </c>
      <c r="B7" s="2">
        <v>1242457</v>
      </c>
    </row>
    <row r="8" spans="1:2">
      <c r="A8" s="2" t="s">
        <v>38</v>
      </c>
      <c r="B8" s="2">
        <v>867414</v>
      </c>
    </row>
    <row r="9" spans="1:2">
      <c r="A9" s="2" t="s">
        <v>33</v>
      </c>
      <c r="B9" s="2">
        <v>561786</v>
      </c>
    </row>
    <row r="10" spans="1:2">
      <c r="A10" s="2" t="s">
        <v>32</v>
      </c>
      <c r="B10" s="2">
        <v>343195</v>
      </c>
    </row>
    <row r="11" spans="1:2">
      <c r="A11" s="2" t="s">
        <v>39</v>
      </c>
      <c r="B11" s="2">
        <v>228912</v>
      </c>
    </row>
    <row r="12" spans="1:2">
      <c r="A12" s="2" t="s">
        <v>26</v>
      </c>
      <c r="B12" s="2">
        <v>184799</v>
      </c>
    </row>
    <row r="13" spans="1:2">
      <c r="A13" s="2" t="s">
        <v>34</v>
      </c>
      <c r="B13" s="2">
        <v>151594</v>
      </c>
    </row>
    <row r="14" spans="1:2">
      <c r="A14" s="2" t="s">
        <v>40</v>
      </c>
      <c r="B14" s="2">
        <v>135597</v>
      </c>
    </row>
    <row r="15" spans="1:2">
      <c r="A15" s="2" t="s">
        <v>35</v>
      </c>
      <c r="B15" s="2">
        <v>128118</v>
      </c>
    </row>
    <row r="16" spans="1:2">
      <c r="A16" s="2" t="s">
        <v>29</v>
      </c>
      <c r="B16" s="2">
        <v>120357</v>
      </c>
    </row>
    <row r="17" spans="1:17">
      <c r="A17" s="2" t="s">
        <v>41</v>
      </c>
      <c r="B17" s="2">
        <v>100112</v>
      </c>
    </row>
    <row r="18" spans="1:17">
      <c r="A18" s="2" t="s">
        <v>45</v>
      </c>
      <c r="B18" s="2">
        <v>28000</v>
      </c>
    </row>
    <row r="19" spans="1:17">
      <c r="A19" s="2" t="s">
        <v>28</v>
      </c>
      <c r="B19" s="2">
        <v>25638</v>
      </c>
    </row>
    <row r="20" spans="1:17" ht="30" customHeight="1">
      <c r="A20" s="2" t="s">
        <v>30</v>
      </c>
      <c r="B20" s="2">
        <v>8523</v>
      </c>
      <c r="D20" s="1" t="s">
        <v>96</v>
      </c>
      <c r="E20" s="1"/>
    </row>
    <row r="21" spans="1:17" ht="30" customHeight="1">
      <c r="A21" s="2" t="s">
        <v>25</v>
      </c>
      <c r="B21" s="2">
        <v>6598</v>
      </c>
      <c r="D21" s="27" t="s">
        <v>97</v>
      </c>
      <c r="E21" s="28"/>
      <c r="F21" s="28"/>
      <c r="G21" s="28"/>
      <c r="H21" s="28"/>
      <c r="I21" s="8"/>
      <c r="J21" s="8"/>
      <c r="K21" s="8"/>
      <c r="L21" s="8"/>
      <c r="M21" s="8"/>
      <c r="N21" s="8"/>
      <c r="O21" s="8"/>
      <c r="P21" s="8"/>
      <c r="Q21" s="8"/>
    </row>
    <row r="22" spans="1:17" ht="30" customHeight="1">
      <c r="A22" s="2" t="s">
        <v>27</v>
      </c>
      <c r="B22" s="2">
        <v>6082</v>
      </c>
      <c r="D22" s="30" t="s">
        <v>98</v>
      </c>
      <c r="E22" s="30"/>
      <c r="F22" s="30"/>
      <c r="G22" s="30"/>
      <c r="H22" s="30"/>
      <c r="I22" s="26"/>
      <c r="J22" s="26"/>
      <c r="K22" s="26"/>
      <c r="L22" s="26"/>
      <c r="M22" s="26"/>
      <c r="N22" s="26"/>
      <c r="O22" s="26"/>
      <c r="P22" s="26"/>
      <c r="Q22" s="26"/>
    </row>
    <row r="23" spans="1:17" ht="30" customHeight="1">
      <c r="A23" s="2" t="s">
        <v>16</v>
      </c>
      <c r="B23" s="2">
        <v>5919</v>
      </c>
      <c r="D23" s="27" t="s">
        <v>99</v>
      </c>
      <c r="E23" s="29"/>
      <c r="F23" s="29"/>
      <c r="G23" s="29"/>
      <c r="H23" s="29"/>
      <c r="I23" s="26"/>
      <c r="J23" s="26"/>
      <c r="K23" s="26"/>
      <c r="L23" s="26"/>
      <c r="M23" s="26"/>
      <c r="N23" s="26"/>
      <c r="O23" s="26"/>
      <c r="P23" s="26"/>
      <c r="Q23" s="26"/>
    </row>
    <row r="24" spans="1:17" ht="14.4" customHeight="1">
      <c r="A24" s="2" t="s">
        <v>31</v>
      </c>
      <c r="B24" s="2">
        <v>5460</v>
      </c>
    </row>
    <row r="25" spans="1:17">
      <c r="A25" s="2" t="s">
        <v>21</v>
      </c>
      <c r="B25" s="2">
        <v>3788</v>
      </c>
      <c r="D25" s="1"/>
    </row>
    <row r="26" spans="1:17">
      <c r="A26" s="2" t="s">
        <v>24</v>
      </c>
      <c r="B26" s="2">
        <v>3772</v>
      </c>
    </row>
    <row r="27" spans="1:17">
      <c r="A27" s="2" t="s">
        <v>43</v>
      </c>
      <c r="B27" s="2">
        <v>3511</v>
      </c>
      <c r="D27" s="1"/>
    </row>
    <row r="28" spans="1:17">
      <c r="A28" s="2" t="s">
        <v>20</v>
      </c>
      <c r="B28" s="2">
        <v>2630</v>
      </c>
    </row>
    <row r="29" spans="1:17">
      <c r="A29" s="2" t="s">
        <v>42</v>
      </c>
      <c r="B29" s="2">
        <v>1729</v>
      </c>
      <c r="D29" s="1"/>
    </row>
    <row r="30" spans="1:17">
      <c r="A30" s="2" t="s">
        <v>19</v>
      </c>
      <c r="B30" s="2">
        <v>26</v>
      </c>
    </row>
  </sheetData>
  <sortState xmlns:xlrd2="http://schemas.microsoft.com/office/spreadsheetml/2017/richdata2" ref="A3:B30">
    <sortCondition descending="1" ref="B3:B30"/>
  </sortState>
  <mergeCells count="1">
    <mergeCell ref="D22:H22"/>
  </mergeCells>
  <pageMargins left="0.511811024" right="0.511811024" top="0.78740157499999996" bottom="0.78740157499999996" header="0.31496062000000002" footer="0.31496062000000002"/>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34"/>
  <sheetViews>
    <sheetView zoomScale="79" zoomScaleNormal="100" workbookViewId="0">
      <selection activeCell="I6" sqref="I6"/>
    </sheetView>
  </sheetViews>
  <sheetFormatPr defaultRowHeight="14.4"/>
  <sheetData>
    <row r="1" spans="1:21">
      <c r="A1" s="9" t="s">
        <v>0</v>
      </c>
      <c r="B1" s="9"/>
      <c r="C1" s="9"/>
      <c r="D1" s="9"/>
      <c r="E1" s="9"/>
      <c r="F1" s="9"/>
      <c r="G1" s="9"/>
      <c r="H1" s="9"/>
      <c r="I1" s="9"/>
      <c r="J1" s="9"/>
      <c r="K1" s="9"/>
      <c r="L1" s="9"/>
      <c r="M1" s="9"/>
      <c r="N1" s="9"/>
      <c r="O1" s="9"/>
      <c r="P1" s="9"/>
      <c r="Q1" s="9"/>
      <c r="R1" s="9"/>
      <c r="S1" s="9"/>
      <c r="T1" s="9"/>
      <c r="U1" s="9"/>
    </row>
    <row r="2" spans="1:21">
      <c r="A2" s="9" t="s">
        <v>47</v>
      </c>
      <c r="B2" s="9"/>
      <c r="C2" s="9"/>
      <c r="D2" s="9"/>
      <c r="E2" s="9"/>
      <c r="F2" s="9"/>
      <c r="G2" s="9"/>
      <c r="H2" s="9"/>
      <c r="I2" s="9"/>
      <c r="J2" s="9"/>
      <c r="K2" s="9"/>
      <c r="L2" s="9"/>
      <c r="M2" s="9"/>
      <c r="N2" s="9"/>
      <c r="O2" s="9"/>
      <c r="P2" s="9"/>
      <c r="Q2" s="9"/>
      <c r="R2" s="9"/>
      <c r="S2" s="9"/>
      <c r="T2" s="9"/>
      <c r="U2" s="9"/>
    </row>
    <row r="3" spans="1:21">
      <c r="A3" s="9" t="s">
        <v>2</v>
      </c>
      <c r="B3" s="9" t="s">
        <v>3</v>
      </c>
      <c r="C3" s="9"/>
      <c r="D3" s="9"/>
      <c r="E3" s="9"/>
      <c r="F3" s="9"/>
      <c r="G3" s="9"/>
      <c r="H3" s="9"/>
      <c r="I3" s="9"/>
      <c r="J3" s="9"/>
      <c r="K3" s="9"/>
      <c r="L3" s="9"/>
      <c r="M3" s="9"/>
      <c r="N3" s="9"/>
      <c r="O3" s="9"/>
      <c r="P3" s="9"/>
      <c r="Q3" s="9"/>
      <c r="R3" s="9"/>
      <c r="S3" s="9"/>
      <c r="T3" s="9"/>
      <c r="U3" s="9"/>
    </row>
    <row r="4" spans="1:21">
      <c r="A4" s="9"/>
      <c r="B4" s="9" t="s">
        <v>4</v>
      </c>
      <c r="C4" s="9"/>
      <c r="D4" s="9" t="s">
        <v>5</v>
      </c>
      <c r="E4" s="9"/>
      <c r="F4" s="9" t="s">
        <v>6</v>
      </c>
      <c r="G4" s="9"/>
      <c r="H4" s="9" t="s">
        <v>7</v>
      </c>
      <c r="I4" s="9"/>
      <c r="J4" s="9" t="s">
        <v>8</v>
      </c>
      <c r="K4" s="9"/>
      <c r="L4" s="9" t="s">
        <v>9</v>
      </c>
      <c r="M4" s="9"/>
      <c r="N4" s="9" t="s">
        <v>10</v>
      </c>
      <c r="O4" s="9"/>
      <c r="P4" s="9" t="s">
        <v>11</v>
      </c>
      <c r="Q4" s="9"/>
      <c r="R4" s="9" t="s">
        <v>12</v>
      </c>
      <c r="S4" s="9"/>
      <c r="T4" s="9" t="s">
        <v>13</v>
      </c>
      <c r="U4" s="9"/>
    </row>
    <row r="5" spans="1:21">
      <c r="A5" s="9"/>
      <c r="B5" t="s">
        <v>14</v>
      </c>
      <c r="C5" t="s">
        <v>15</v>
      </c>
      <c r="D5" t="s">
        <v>14</v>
      </c>
      <c r="E5" t="s">
        <v>15</v>
      </c>
      <c r="F5" t="s">
        <v>14</v>
      </c>
      <c r="G5" t="s">
        <v>15</v>
      </c>
      <c r="H5" t="s">
        <v>14</v>
      </c>
      <c r="I5" t="s">
        <v>15</v>
      </c>
      <c r="J5" t="s">
        <v>14</v>
      </c>
      <c r="K5" t="s">
        <v>15</v>
      </c>
      <c r="L5" t="s">
        <v>14</v>
      </c>
      <c r="M5" t="s">
        <v>15</v>
      </c>
      <c r="N5" t="s">
        <v>14</v>
      </c>
      <c r="O5" t="s">
        <v>15</v>
      </c>
      <c r="P5" t="s">
        <v>14</v>
      </c>
      <c r="Q5" t="s">
        <v>15</v>
      </c>
      <c r="R5" t="s">
        <v>14</v>
      </c>
      <c r="S5" t="s">
        <v>15</v>
      </c>
      <c r="T5" t="s">
        <v>14</v>
      </c>
      <c r="U5" t="s">
        <v>15</v>
      </c>
    </row>
    <row r="6" spans="1:21">
      <c r="A6" t="s">
        <v>16</v>
      </c>
      <c r="B6" t="s">
        <v>48</v>
      </c>
      <c r="C6">
        <v>4986</v>
      </c>
      <c r="D6" t="s">
        <v>48</v>
      </c>
      <c r="E6">
        <v>2542</v>
      </c>
      <c r="F6" t="s">
        <v>48</v>
      </c>
      <c r="G6">
        <v>2766</v>
      </c>
      <c r="H6" t="s">
        <v>48</v>
      </c>
      <c r="I6">
        <v>4868</v>
      </c>
      <c r="J6" t="s">
        <v>48</v>
      </c>
      <c r="K6">
        <v>6289</v>
      </c>
      <c r="L6" t="s">
        <v>48</v>
      </c>
      <c r="M6">
        <v>7437</v>
      </c>
      <c r="N6" t="s">
        <v>48</v>
      </c>
      <c r="O6">
        <v>5324</v>
      </c>
      <c r="P6" t="s">
        <v>48</v>
      </c>
      <c r="Q6">
        <v>4485</v>
      </c>
      <c r="R6" t="s">
        <v>48</v>
      </c>
      <c r="S6">
        <v>6791</v>
      </c>
      <c r="T6" t="s">
        <v>48</v>
      </c>
      <c r="U6">
        <v>5919</v>
      </c>
    </row>
    <row r="7" spans="1:21">
      <c r="A7" t="s">
        <v>17</v>
      </c>
      <c r="B7" t="s">
        <v>48</v>
      </c>
      <c r="C7" t="s">
        <v>18</v>
      </c>
      <c r="D7" t="s">
        <v>48</v>
      </c>
      <c r="E7" t="s">
        <v>18</v>
      </c>
      <c r="F7" t="s">
        <v>48</v>
      </c>
      <c r="G7" t="s">
        <v>18</v>
      </c>
      <c r="H7" t="s">
        <v>48</v>
      </c>
      <c r="I7" t="s">
        <v>18</v>
      </c>
      <c r="J7" t="s">
        <v>48</v>
      </c>
      <c r="K7" t="s">
        <v>18</v>
      </c>
      <c r="L7" t="s">
        <v>48</v>
      </c>
      <c r="M7" t="s">
        <v>18</v>
      </c>
      <c r="N7" t="s">
        <v>48</v>
      </c>
      <c r="O7" t="s">
        <v>18</v>
      </c>
      <c r="P7" t="s">
        <v>48</v>
      </c>
      <c r="Q7" t="s">
        <v>18</v>
      </c>
      <c r="R7" t="s">
        <v>48</v>
      </c>
      <c r="S7" t="s">
        <v>18</v>
      </c>
      <c r="T7" t="s">
        <v>48</v>
      </c>
      <c r="U7" t="s">
        <v>18</v>
      </c>
    </row>
    <row r="8" spans="1:21">
      <c r="A8" t="s">
        <v>19</v>
      </c>
      <c r="B8" t="s">
        <v>48</v>
      </c>
      <c r="C8">
        <v>601</v>
      </c>
      <c r="D8" t="s">
        <v>48</v>
      </c>
      <c r="E8">
        <v>249</v>
      </c>
      <c r="F8" t="s">
        <v>48</v>
      </c>
      <c r="G8">
        <v>162</v>
      </c>
      <c r="H8" t="s">
        <v>48</v>
      </c>
      <c r="I8">
        <v>55</v>
      </c>
      <c r="J8" t="s">
        <v>48</v>
      </c>
      <c r="K8">
        <v>200</v>
      </c>
      <c r="L8" t="s">
        <v>48</v>
      </c>
      <c r="M8">
        <v>264</v>
      </c>
      <c r="N8" t="s">
        <v>48</v>
      </c>
      <c r="O8">
        <v>300</v>
      </c>
      <c r="P8" t="s">
        <v>48</v>
      </c>
      <c r="Q8">
        <v>281</v>
      </c>
      <c r="R8" t="s">
        <v>48</v>
      </c>
      <c r="S8">
        <v>200</v>
      </c>
      <c r="T8" t="s">
        <v>48</v>
      </c>
      <c r="U8">
        <v>26</v>
      </c>
    </row>
    <row r="9" spans="1:21">
      <c r="A9" t="s">
        <v>20</v>
      </c>
      <c r="B9" t="s">
        <v>48</v>
      </c>
      <c r="C9">
        <v>3779</v>
      </c>
      <c r="D9" t="s">
        <v>48</v>
      </c>
      <c r="E9">
        <v>4067</v>
      </c>
      <c r="F9" t="s">
        <v>48</v>
      </c>
      <c r="G9">
        <v>4019</v>
      </c>
      <c r="H9" t="s">
        <v>48</v>
      </c>
      <c r="I9">
        <v>1768</v>
      </c>
      <c r="J9" t="s">
        <v>48</v>
      </c>
      <c r="K9">
        <v>1837</v>
      </c>
      <c r="L9" t="s">
        <v>48</v>
      </c>
      <c r="M9">
        <v>2230</v>
      </c>
      <c r="N9" t="s">
        <v>48</v>
      </c>
      <c r="O9">
        <v>2285</v>
      </c>
      <c r="P9" t="s">
        <v>48</v>
      </c>
      <c r="Q9">
        <v>3222</v>
      </c>
      <c r="R9" t="s">
        <v>48</v>
      </c>
      <c r="S9">
        <v>3135</v>
      </c>
      <c r="T9" t="s">
        <v>48</v>
      </c>
      <c r="U9">
        <v>2630</v>
      </c>
    </row>
    <row r="10" spans="1:21">
      <c r="A10" t="s">
        <v>21</v>
      </c>
      <c r="B10" t="s">
        <v>48</v>
      </c>
      <c r="C10">
        <v>8700</v>
      </c>
      <c r="D10" t="s">
        <v>48</v>
      </c>
      <c r="E10">
        <v>9315</v>
      </c>
      <c r="F10" t="s">
        <v>48</v>
      </c>
      <c r="G10">
        <v>6580</v>
      </c>
      <c r="H10" t="s">
        <v>48</v>
      </c>
      <c r="I10">
        <v>6240</v>
      </c>
      <c r="J10" t="s">
        <v>48</v>
      </c>
      <c r="K10">
        <v>6197</v>
      </c>
      <c r="L10" t="s">
        <v>48</v>
      </c>
      <c r="M10">
        <v>5610</v>
      </c>
      <c r="N10" t="s">
        <v>48</v>
      </c>
      <c r="O10">
        <v>5679</v>
      </c>
      <c r="P10" t="s">
        <v>48</v>
      </c>
      <c r="Q10">
        <v>5748</v>
      </c>
      <c r="R10" t="s">
        <v>48</v>
      </c>
      <c r="S10">
        <v>4018</v>
      </c>
      <c r="T10" t="s">
        <v>48</v>
      </c>
      <c r="U10">
        <v>3788</v>
      </c>
    </row>
    <row r="11" spans="1:21">
      <c r="A11" t="s">
        <v>22</v>
      </c>
      <c r="B11" t="s">
        <v>48</v>
      </c>
      <c r="C11" t="s">
        <v>18</v>
      </c>
      <c r="D11" t="s">
        <v>48</v>
      </c>
      <c r="E11" t="s">
        <v>18</v>
      </c>
      <c r="F11" t="s">
        <v>48</v>
      </c>
      <c r="G11" t="s">
        <v>18</v>
      </c>
      <c r="H11" t="s">
        <v>48</v>
      </c>
      <c r="I11" t="s">
        <v>18</v>
      </c>
      <c r="J11" t="s">
        <v>48</v>
      </c>
      <c r="K11" t="s">
        <v>18</v>
      </c>
      <c r="L11" t="s">
        <v>48</v>
      </c>
      <c r="M11" t="s">
        <v>18</v>
      </c>
      <c r="N11" t="s">
        <v>48</v>
      </c>
      <c r="O11" t="s">
        <v>18</v>
      </c>
      <c r="P11" t="s">
        <v>48</v>
      </c>
      <c r="Q11" t="s">
        <v>18</v>
      </c>
      <c r="R11" t="s">
        <v>48</v>
      </c>
      <c r="S11" t="s">
        <v>18</v>
      </c>
      <c r="T11" t="s">
        <v>48</v>
      </c>
      <c r="U11" t="s">
        <v>18</v>
      </c>
    </row>
    <row r="12" spans="1:21">
      <c r="A12" t="s">
        <v>23</v>
      </c>
      <c r="B12" t="s">
        <v>48</v>
      </c>
      <c r="C12" t="s">
        <v>18</v>
      </c>
      <c r="D12" t="s">
        <v>48</v>
      </c>
      <c r="E12" t="s">
        <v>18</v>
      </c>
      <c r="F12" t="s">
        <v>48</v>
      </c>
      <c r="G12" t="s">
        <v>18</v>
      </c>
      <c r="H12" t="s">
        <v>48</v>
      </c>
      <c r="I12" t="s">
        <v>18</v>
      </c>
      <c r="J12" t="s">
        <v>48</v>
      </c>
      <c r="K12" t="s">
        <v>18</v>
      </c>
      <c r="L12" t="s">
        <v>48</v>
      </c>
      <c r="M12" t="s">
        <v>18</v>
      </c>
      <c r="N12" t="s">
        <v>48</v>
      </c>
      <c r="O12" t="s">
        <v>18</v>
      </c>
      <c r="P12" t="s">
        <v>48</v>
      </c>
      <c r="Q12" t="s">
        <v>18</v>
      </c>
      <c r="R12" t="s">
        <v>48</v>
      </c>
      <c r="S12" t="s">
        <v>18</v>
      </c>
      <c r="T12" t="s">
        <v>48</v>
      </c>
      <c r="U12" t="s">
        <v>18</v>
      </c>
    </row>
    <row r="13" spans="1:21">
      <c r="A13" t="s">
        <v>24</v>
      </c>
      <c r="B13" t="s">
        <v>48</v>
      </c>
      <c r="C13">
        <v>4199</v>
      </c>
      <c r="D13" t="s">
        <v>48</v>
      </c>
      <c r="E13">
        <v>4330</v>
      </c>
      <c r="F13" t="s">
        <v>48</v>
      </c>
      <c r="G13">
        <v>3671</v>
      </c>
      <c r="H13" t="s">
        <v>48</v>
      </c>
      <c r="I13">
        <v>4005</v>
      </c>
      <c r="J13" t="s">
        <v>48</v>
      </c>
      <c r="K13">
        <v>4730</v>
      </c>
      <c r="L13" t="s">
        <v>48</v>
      </c>
      <c r="M13">
        <v>4533</v>
      </c>
      <c r="N13" t="s">
        <v>48</v>
      </c>
      <c r="O13">
        <v>3703</v>
      </c>
      <c r="P13" t="s">
        <v>48</v>
      </c>
      <c r="Q13">
        <v>3288</v>
      </c>
      <c r="R13" t="s">
        <v>48</v>
      </c>
      <c r="S13">
        <v>3125</v>
      </c>
      <c r="T13" t="s">
        <v>48</v>
      </c>
      <c r="U13">
        <v>3772</v>
      </c>
    </row>
    <row r="14" spans="1:21">
      <c r="A14" t="s">
        <v>25</v>
      </c>
      <c r="B14" t="s">
        <v>48</v>
      </c>
      <c r="C14">
        <v>3320</v>
      </c>
      <c r="D14" t="s">
        <v>48</v>
      </c>
      <c r="E14">
        <v>3120</v>
      </c>
      <c r="F14" t="s">
        <v>48</v>
      </c>
      <c r="G14">
        <v>2498</v>
      </c>
      <c r="H14" t="s">
        <v>48</v>
      </c>
      <c r="I14">
        <v>3150</v>
      </c>
      <c r="J14" t="s">
        <v>48</v>
      </c>
      <c r="K14">
        <v>5136</v>
      </c>
      <c r="L14" t="s">
        <v>48</v>
      </c>
      <c r="M14">
        <v>4511</v>
      </c>
      <c r="N14" t="s">
        <v>48</v>
      </c>
      <c r="O14">
        <v>5319</v>
      </c>
      <c r="P14" t="s">
        <v>48</v>
      </c>
      <c r="Q14">
        <v>4095</v>
      </c>
      <c r="R14" t="s">
        <v>48</v>
      </c>
      <c r="S14">
        <v>4343</v>
      </c>
      <c r="T14" t="s">
        <v>48</v>
      </c>
      <c r="U14">
        <v>6598</v>
      </c>
    </row>
    <row r="15" spans="1:21">
      <c r="A15" t="s">
        <v>26</v>
      </c>
      <c r="B15" t="s">
        <v>48</v>
      </c>
      <c r="C15">
        <v>113724</v>
      </c>
      <c r="D15" t="s">
        <v>48</v>
      </c>
      <c r="E15">
        <v>95128</v>
      </c>
      <c r="F15" t="s">
        <v>48</v>
      </c>
      <c r="G15">
        <v>122846</v>
      </c>
      <c r="H15" t="s">
        <v>48</v>
      </c>
      <c r="I15">
        <v>120397</v>
      </c>
      <c r="J15" t="s">
        <v>48</v>
      </c>
      <c r="K15">
        <v>134932</v>
      </c>
      <c r="L15" t="s">
        <v>48</v>
      </c>
      <c r="M15">
        <v>157060</v>
      </c>
      <c r="N15" t="s">
        <v>48</v>
      </c>
      <c r="O15">
        <v>177575</v>
      </c>
      <c r="P15" t="s">
        <v>48</v>
      </c>
      <c r="Q15">
        <v>166889</v>
      </c>
      <c r="R15" t="s">
        <v>48</v>
      </c>
      <c r="S15">
        <v>170059</v>
      </c>
      <c r="T15" t="s">
        <v>48</v>
      </c>
      <c r="U15">
        <v>184799</v>
      </c>
    </row>
    <row r="16" spans="1:21">
      <c r="A16" t="s">
        <v>27</v>
      </c>
      <c r="B16" t="s">
        <v>48</v>
      </c>
      <c r="C16">
        <v>6606</v>
      </c>
      <c r="D16" t="s">
        <v>48</v>
      </c>
      <c r="E16">
        <v>3828</v>
      </c>
      <c r="F16" t="s">
        <v>48</v>
      </c>
      <c r="G16">
        <v>4696</v>
      </c>
      <c r="H16" t="s">
        <v>48</v>
      </c>
      <c r="I16">
        <v>3768</v>
      </c>
      <c r="J16" t="s">
        <v>48</v>
      </c>
      <c r="K16">
        <v>5274</v>
      </c>
      <c r="L16" t="s">
        <v>48</v>
      </c>
      <c r="M16">
        <v>7117</v>
      </c>
      <c r="N16" t="s">
        <v>48</v>
      </c>
      <c r="O16">
        <v>6157</v>
      </c>
      <c r="P16" t="s">
        <v>48</v>
      </c>
      <c r="Q16">
        <v>5115</v>
      </c>
      <c r="R16" t="s">
        <v>48</v>
      </c>
      <c r="S16">
        <v>6090</v>
      </c>
      <c r="T16" t="s">
        <v>48</v>
      </c>
      <c r="U16">
        <v>6082</v>
      </c>
    </row>
    <row r="17" spans="1:21">
      <c r="A17" t="s">
        <v>28</v>
      </c>
      <c r="B17" t="s">
        <v>48</v>
      </c>
      <c r="C17">
        <v>14155</v>
      </c>
      <c r="D17" t="s">
        <v>48</v>
      </c>
      <c r="E17">
        <v>13045</v>
      </c>
      <c r="F17" t="s">
        <v>48</v>
      </c>
      <c r="G17">
        <v>8955</v>
      </c>
      <c r="H17" t="s">
        <v>48</v>
      </c>
      <c r="I17">
        <v>10536</v>
      </c>
      <c r="J17" t="s">
        <v>48</v>
      </c>
      <c r="K17">
        <v>17898</v>
      </c>
      <c r="L17" t="s">
        <v>48</v>
      </c>
      <c r="M17">
        <v>13707</v>
      </c>
      <c r="N17" t="s">
        <v>48</v>
      </c>
      <c r="O17">
        <v>13419</v>
      </c>
      <c r="P17" t="s">
        <v>48</v>
      </c>
      <c r="Q17">
        <v>17298</v>
      </c>
      <c r="R17" t="s">
        <v>48</v>
      </c>
      <c r="S17">
        <v>18897</v>
      </c>
      <c r="T17" t="s">
        <v>48</v>
      </c>
      <c r="U17">
        <v>25638</v>
      </c>
    </row>
    <row r="18" spans="1:21">
      <c r="A18" t="s">
        <v>29</v>
      </c>
      <c r="B18" t="s">
        <v>48</v>
      </c>
      <c r="C18">
        <v>128881</v>
      </c>
      <c r="D18" t="s">
        <v>48</v>
      </c>
      <c r="E18">
        <v>93718</v>
      </c>
      <c r="F18" t="s">
        <v>48</v>
      </c>
      <c r="G18">
        <v>53331</v>
      </c>
      <c r="H18" t="s">
        <v>48</v>
      </c>
      <c r="I18">
        <v>60430</v>
      </c>
      <c r="J18" t="s">
        <v>48</v>
      </c>
      <c r="K18">
        <v>61478</v>
      </c>
      <c r="L18" t="s">
        <v>48</v>
      </c>
      <c r="M18">
        <v>64406</v>
      </c>
      <c r="N18" t="s">
        <v>48</v>
      </c>
      <c r="O18">
        <v>57393</v>
      </c>
      <c r="P18" t="s">
        <v>48</v>
      </c>
      <c r="Q18">
        <v>67128</v>
      </c>
      <c r="R18" t="s">
        <v>48</v>
      </c>
      <c r="S18">
        <v>67154</v>
      </c>
      <c r="T18" t="s">
        <v>48</v>
      </c>
      <c r="U18">
        <v>120357</v>
      </c>
    </row>
    <row r="19" spans="1:21">
      <c r="A19" t="s">
        <v>30</v>
      </c>
      <c r="B19" t="s">
        <v>48</v>
      </c>
      <c r="C19">
        <v>5032</v>
      </c>
      <c r="D19" t="s">
        <v>48</v>
      </c>
      <c r="E19">
        <v>5380</v>
      </c>
      <c r="F19" t="s">
        <v>48</v>
      </c>
      <c r="G19">
        <v>6168</v>
      </c>
      <c r="H19" t="s">
        <v>48</v>
      </c>
      <c r="I19">
        <v>6641</v>
      </c>
      <c r="J19" t="s">
        <v>48</v>
      </c>
      <c r="K19">
        <v>7543</v>
      </c>
      <c r="L19" t="s">
        <v>48</v>
      </c>
      <c r="M19">
        <v>8720</v>
      </c>
      <c r="N19" t="s">
        <v>48</v>
      </c>
      <c r="O19">
        <v>7799</v>
      </c>
      <c r="P19" t="s">
        <v>48</v>
      </c>
      <c r="Q19">
        <v>8990</v>
      </c>
      <c r="R19" t="s">
        <v>48</v>
      </c>
      <c r="S19">
        <v>9501</v>
      </c>
      <c r="T19" t="s">
        <v>48</v>
      </c>
      <c r="U19">
        <v>8523</v>
      </c>
    </row>
    <row r="20" spans="1:21">
      <c r="A20" t="s">
        <v>31</v>
      </c>
      <c r="B20" t="s">
        <v>48</v>
      </c>
      <c r="C20">
        <v>1633</v>
      </c>
      <c r="D20" t="s">
        <v>48</v>
      </c>
      <c r="E20">
        <v>1274</v>
      </c>
      <c r="F20" t="s">
        <v>48</v>
      </c>
      <c r="G20">
        <v>357</v>
      </c>
      <c r="H20" t="s">
        <v>48</v>
      </c>
      <c r="I20" t="s">
        <v>18</v>
      </c>
      <c r="J20" t="s">
        <v>48</v>
      </c>
      <c r="K20">
        <v>1395</v>
      </c>
      <c r="L20" t="s">
        <v>48</v>
      </c>
      <c r="M20">
        <v>3620</v>
      </c>
      <c r="N20" t="s">
        <v>48</v>
      </c>
      <c r="O20">
        <v>5060</v>
      </c>
      <c r="P20" t="s">
        <v>48</v>
      </c>
      <c r="Q20">
        <v>7530</v>
      </c>
      <c r="R20" t="s">
        <v>48</v>
      </c>
      <c r="S20">
        <v>8660</v>
      </c>
      <c r="T20" t="s">
        <v>48</v>
      </c>
      <c r="U20">
        <v>5460</v>
      </c>
    </row>
    <row r="21" spans="1:21">
      <c r="A21" t="s">
        <v>32</v>
      </c>
      <c r="B21" t="s">
        <v>48</v>
      </c>
      <c r="C21">
        <v>288477</v>
      </c>
      <c r="D21" t="s">
        <v>48</v>
      </c>
      <c r="E21">
        <v>323660</v>
      </c>
      <c r="F21" t="s">
        <v>48</v>
      </c>
      <c r="G21">
        <v>335044</v>
      </c>
      <c r="H21" t="s">
        <v>48</v>
      </c>
      <c r="I21">
        <v>286936</v>
      </c>
      <c r="J21" t="s">
        <v>48</v>
      </c>
      <c r="K21">
        <v>260918</v>
      </c>
      <c r="L21" t="s">
        <v>48</v>
      </c>
      <c r="M21">
        <v>235836</v>
      </c>
      <c r="N21" t="s">
        <v>48</v>
      </c>
      <c r="O21">
        <v>228267</v>
      </c>
      <c r="P21" t="s">
        <v>48</v>
      </c>
      <c r="Q21">
        <v>261404</v>
      </c>
      <c r="R21" t="s">
        <v>48</v>
      </c>
      <c r="S21">
        <v>274490</v>
      </c>
      <c r="T21" t="s">
        <v>48</v>
      </c>
      <c r="U21">
        <v>343195</v>
      </c>
    </row>
    <row r="22" spans="1:21">
      <c r="A22" t="s">
        <v>33</v>
      </c>
      <c r="B22" t="s">
        <v>48</v>
      </c>
      <c r="C22">
        <v>674962</v>
      </c>
      <c r="D22" t="s">
        <v>48</v>
      </c>
      <c r="E22">
        <v>715890</v>
      </c>
      <c r="F22" t="s">
        <v>48</v>
      </c>
      <c r="G22">
        <v>702510</v>
      </c>
      <c r="H22" t="s">
        <v>48</v>
      </c>
      <c r="I22">
        <v>572273</v>
      </c>
      <c r="J22" t="s">
        <v>48</v>
      </c>
      <c r="K22">
        <v>539583</v>
      </c>
      <c r="L22" t="s">
        <v>48</v>
      </c>
      <c r="M22">
        <v>526309</v>
      </c>
      <c r="N22" t="s">
        <v>48</v>
      </c>
      <c r="O22">
        <v>513906</v>
      </c>
      <c r="P22" t="s">
        <v>48</v>
      </c>
      <c r="Q22">
        <v>553429</v>
      </c>
      <c r="R22" t="s">
        <v>48</v>
      </c>
      <c r="S22">
        <v>578116</v>
      </c>
      <c r="T22" t="s">
        <v>48</v>
      </c>
      <c r="U22">
        <v>561786</v>
      </c>
    </row>
    <row r="23" spans="1:21">
      <c r="A23" t="s">
        <v>34</v>
      </c>
      <c r="B23" t="s">
        <v>48</v>
      </c>
      <c r="C23">
        <v>188420</v>
      </c>
      <c r="D23" t="s">
        <v>48</v>
      </c>
      <c r="E23">
        <v>144834</v>
      </c>
      <c r="F23" t="s">
        <v>48</v>
      </c>
      <c r="G23">
        <v>152024</v>
      </c>
      <c r="H23" t="s">
        <v>48</v>
      </c>
      <c r="I23">
        <v>164781</v>
      </c>
      <c r="J23" t="s">
        <v>48</v>
      </c>
      <c r="K23">
        <v>173145</v>
      </c>
      <c r="L23" t="s">
        <v>48</v>
      </c>
      <c r="M23">
        <v>163943</v>
      </c>
      <c r="N23" t="s">
        <v>48</v>
      </c>
      <c r="O23">
        <v>151590</v>
      </c>
      <c r="P23" t="s">
        <v>48</v>
      </c>
      <c r="Q23">
        <v>147537</v>
      </c>
      <c r="R23" t="s">
        <v>48</v>
      </c>
      <c r="S23">
        <v>151636</v>
      </c>
      <c r="T23" t="s">
        <v>48</v>
      </c>
      <c r="U23">
        <v>151594</v>
      </c>
    </row>
    <row r="24" spans="1:21">
      <c r="A24" t="s">
        <v>35</v>
      </c>
      <c r="B24" t="s">
        <v>48</v>
      </c>
      <c r="C24">
        <v>207424</v>
      </c>
      <c r="D24" t="s">
        <v>48</v>
      </c>
      <c r="E24">
        <v>185889</v>
      </c>
      <c r="F24" t="s">
        <v>48</v>
      </c>
      <c r="G24">
        <v>179205</v>
      </c>
      <c r="H24" t="s">
        <v>48</v>
      </c>
      <c r="I24">
        <v>175751</v>
      </c>
      <c r="J24" t="s">
        <v>48</v>
      </c>
      <c r="K24">
        <v>154272</v>
      </c>
      <c r="L24" t="s">
        <v>48</v>
      </c>
      <c r="M24">
        <v>141195</v>
      </c>
      <c r="N24" t="s">
        <v>48</v>
      </c>
      <c r="O24">
        <v>155890</v>
      </c>
      <c r="P24" t="s">
        <v>48</v>
      </c>
      <c r="Q24">
        <v>156917</v>
      </c>
      <c r="R24" t="s">
        <v>48</v>
      </c>
      <c r="S24">
        <v>144818</v>
      </c>
      <c r="T24" t="s">
        <v>48</v>
      </c>
      <c r="U24">
        <v>128118</v>
      </c>
    </row>
    <row r="25" spans="1:21">
      <c r="A25" t="s">
        <v>36</v>
      </c>
      <c r="B25" t="s">
        <v>48</v>
      </c>
      <c r="C25" t="s">
        <v>37</v>
      </c>
      <c r="D25" t="s">
        <v>48</v>
      </c>
      <c r="E25" t="s">
        <v>37</v>
      </c>
      <c r="F25" t="s">
        <v>48</v>
      </c>
      <c r="G25" t="s">
        <v>37</v>
      </c>
      <c r="H25" t="s">
        <v>48</v>
      </c>
      <c r="I25" t="s">
        <v>37</v>
      </c>
      <c r="J25" t="s">
        <v>48</v>
      </c>
      <c r="K25" t="s">
        <v>37</v>
      </c>
      <c r="L25" t="s">
        <v>48</v>
      </c>
      <c r="M25" t="s">
        <v>37</v>
      </c>
      <c r="N25" t="s">
        <v>48</v>
      </c>
      <c r="O25" t="s">
        <v>37</v>
      </c>
      <c r="P25" t="s">
        <v>48</v>
      </c>
      <c r="Q25" t="s">
        <v>37</v>
      </c>
      <c r="R25" t="s">
        <v>48</v>
      </c>
      <c r="S25" t="s">
        <v>37</v>
      </c>
      <c r="T25" t="s">
        <v>48</v>
      </c>
      <c r="U25" t="s">
        <v>37</v>
      </c>
    </row>
    <row r="26" spans="1:21">
      <c r="A26" t="s">
        <v>38</v>
      </c>
      <c r="B26" t="s">
        <v>48</v>
      </c>
      <c r="C26">
        <v>956869</v>
      </c>
      <c r="D26" t="s">
        <v>48</v>
      </c>
      <c r="E26">
        <v>1097937</v>
      </c>
      <c r="F26" t="s">
        <v>48</v>
      </c>
      <c r="G26">
        <v>1101336</v>
      </c>
      <c r="H26" t="s">
        <v>48</v>
      </c>
      <c r="I26">
        <v>929793</v>
      </c>
      <c r="J26" t="s">
        <v>48</v>
      </c>
      <c r="K26">
        <v>870598</v>
      </c>
      <c r="L26" t="s">
        <v>48</v>
      </c>
      <c r="M26">
        <v>918497</v>
      </c>
      <c r="N26" t="s">
        <v>48</v>
      </c>
      <c r="O26">
        <v>801471</v>
      </c>
      <c r="P26" t="s">
        <v>48</v>
      </c>
      <c r="Q26">
        <v>742395</v>
      </c>
      <c r="R26" t="s">
        <v>48</v>
      </c>
      <c r="S26">
        <v>917349</v>
      </c>
      <c r="T26" t="s">
        <v>48</v>
      </c>
      <c r="U26">
        <v>867414</v>
      </c>
    </row>
    <row r="27" spans="1:21">
      <c r="A27" t="s">
        <v>39</v>
      </c>
      <c r="B27" t="s">
        <v>48</v>
      </c>
      <c r="C27">
        <v>253362</v>
      </c>
      <c r="D27" t="s">
        <v>48</v>
      </c>
      <c r="E27">
        <v>230319</v>
      </c>
      <c r="F27" t="s">
        <v>48</v>
      </c>
      <c r="G27">
        <v>217430</v>
      </c>
      <c r="H27" t="s">
        <v>48</v>
      </c>
      <c r="I27">
        <v>251607</v>
      </c>
      <c r="J27" t="s">
        <v>48</v>
      </c>
      <c r="K27">
        <v>237133</v>
      </c>
      <c r="L27" t="s">
        <v>48</v>
      </c>
      <c r="M27">
        <v>230611</v>
      </c>
      <c r="N27" t="s">
        <v>48</v>
      </c>
      <c r="O27">
        <v>225004</v>
      </c>
      <c r="P27" t="s">
        <v>48</v>
      </c>
      <c r="Q27">
        <v>211165</v>
      </c>
      <c r="R27" t="s">
        <v>48</v>
      </c>
      <c r="S27">
        <v>214465</v>
      </c>
      <c r="T27" t="s">
        <v>48</v>
      </c>
      <c r="U27">
        <v>228912</v>
      </c>
    </row>
    <row r="28" spans="1:21">
      <c r="A28" t="s">
        <v>40</v>
      </c>
      <c r="B28" t="s">
        <v>48</v>
      </c>
      <c r="C28">
        <v>184482</v>
      </c>
      <c r="D28" t="s">
        <v>48</v>
      </c>
      <c r="E28">
        <v>180486</v>
      </c>
      <c r="F28" t="s">
        <v>48</v>
      </c>
      <c r="G28">
        <v>172275</v>
      </c>
      <c r="H28" t="s">
        <v>48</v>
      </c>
      <c r="I28">
        <v>173167</v>
      </c>
      <c r="J28" t="s">
        <v>48</v>
      </c>
      <c r="K28">
        <v>175710</v>
      </c>
      <c r="L28" t="s">
        <v>48</v>
      </c>
      <c r="M28">
        <v>161948</v>
      </c>
      <c r="N28" t="s">
        <v>48</v>
      </c>
      <c r="O28">
        <v>168975</v>
      </c>
      <c r="P28" t="s">
        <v>48</v>
      </c>
      <c r="Q28">
        <v>158286</v>
      </c>
      <c r="R28" t="s">
        <v>48</v>
      </c>
      <c r="S28">
        <v>118700</v>
      </c>
      <c r="T28" t="s">
        <v>48</v>
      </c>
      <c r="U28">
        <v>135597</v>
      </c>
    </row>
    <row r="29" spans="1:21">
      <c r="A29" t="s">
        <v>41</v>
      </c>
      <c r="B29" t="s">
        <v>48</v>
      </c>
      <c r="C29">
        <v>117176</v>
      </c>
      <c r="D29" t="s">
        <v>48</v>
      </c>
      <c r="E29">
        <v>111363</v>
      </c>
      <c r="F29" t="s">
        <v>48</v>
      </c>
      <c r="G29">
        <v>112363</v>
      </c>
      <c r="H29" t="s">
        <v>48</v>
      </c>
      <c r="I29">
        <v>116742</v>
      </c>
      <c r="J29" t="s">
        <v>48</v>
      </c>
      <c r="K29">
        <v>98574</v>
      </c>
      <c r="L29" t="s">
        <v>48</v>
      </c>
      <c r="M29">
        <v>104141</v>
      </c>
      <c r="N29" t="s">
        <v>48</v>
      </c>
      <c r="O29">
        <v>89934</v>
      </c>
      <c r="P29" t="s">
        <v>48</v>
      </c>
      <c r="Q29">
        <v>94967</v>
      </c>
      <c r="R29" t="s">
        <v>48</v>
      </c>
      <c r="S29">
        <v>90675</v>
      </c>
      <c r="T29" t="s">
        <v>48</v>
      </c>
      <c r="U29">
        <v>100112</v>
      </c>
    </row>
    <row r="30" spans="1:21">
      <c r="A30" t="s">
        <v>42</v>
      </c>
      <c r="B30" t="s">
        <v>48</v>
      </c>
      <c r="C30">
        <v>2791</v>
      </c>
      <c r="D30" t="s">
        <v>48</v>
      </c>
      <c r="E30">
        <v>2420</v>
      </c>
      <c r="F30" t="s">
        <v>48</v>
      </c>
      <c r="G30">
        <v>2705</v>
      </c>
      <c r="H30" t="s">
        <v>48</v>
      </c>
      <c r="I30">
        <v>2720</v>
      </c>
      <c r="J30" t="s">
        <v>48</v>
      </c>
      <c r="K30">
        <v>2425</v>
      </c>
      <c r="L30" t="s">
        <v>48</v>
      </c>
      <c r="M30">
        <v>1582</v>
      </c>
      <c r="N30" t="s">
        <v>48</v>
      </c>
      <c r="O30">
        <v>2041</v>
      </c>
      <c r="P30" t="s">
        <v>48</v>
      </c>
      <c r="Q30">
        <v>1350</v>
      </c>
      <c r="R30" t="s">
        <v>48</v>
      </c>
      <c r="S30">
        <v>1537</v>
      </c>
      <c r="T30" t="s">
        <v>48</v>
      </c>
      <c r="U30">
        <v>1729</v>
      </c>
    </row>
    <row r="31" spans="1:21">
      <c r="A31" t="s">
        <v>43</v>
      </c>
      <c r="B31" t="s">
        <v>48</v>
      </c>
      <c r="C31">
        <v>9426</v>
      </c>
      <c r="D31" t="s">
        <v>48</v>
      </c>
      <c r="E31">
        <v>9268</v>
      </c>
      <c r="F31" t="s">
        <v>48</v>
      </c>
      <c r="G31">
        <v>9637</v>
      </c>
      <c r="H31" t="s">
        <v>48</v>
      </c>
      <c r="I31">
        <v>5498</v>
      </c>
      <c r="J31" t="s">
        <v>48</v>
      </c>
      <c r="K31">
        <v>3931</v>
      </c>
      <c r="L31" t="s">
        <v>48</v>
      </c>
      <c r="M31">
        <v>3625</v>
      </c>
      <c r="N31" t="s">
        <v>48</v>
      </c>
      <c r="O31">
        <v>3676</v>
      </c>
      <c r="P31" t="s">
        <v>48</v>
      </c>
      <c r="Q31">
        <v>3682</v>
      </c>
      <c r="R31" t="s">
        <v>48</v>
      </c>
      <c r="S31">
        <v>3573</v>
      </c>
      <c r="T31" t="s">
        <v>48</v>
      </c>
      <c r="U31">
        <v>3511</v>
      </c>
    </row>
    <row r="32" spans="1:21">
      <c r="A32" t="s">
        <v>44</v>
      </c>
      <c r="B32" t="s">
        <v>48</v>
      </c>
      <c r="C32">
        <v>1055337</v>
      </c>
      <c r="D32" t="s">
        <v>48</v>
      </c>
      <c r="E32">
        <v>912976</v>
      </c>
      <c r="F32" t="s">
        <v>48</v>
      </c>
      <c r="G32">
        <v>934658</v>
      </c>
      <c r="H32" t="s">
        <v>48</v>
      </c>
      <c r="I32">
        <v>1298088</v>
      </c>
      <c r="J32" t="s">
        <v>48</v>
      </c>
      <c r="K32">
        <v>1329790</v>
      </c>
      <c r="L32" t="s">
        <v>48</v>
      </c>
      <c r="M32">
        <v>1126095</v>
      </c>
      <c r="N32" t="s">
        <v>48</v>
      </c>
      <c r="O32">
        <v>1098311</v>
      </c>
      <c r="P32" t="s">
        <v>48</v>
      </c>
      <c r="Q32">
        <v>1026055</v>
      </c>
      <c r="R32" t="s">
        <v>48</v>
      </c>
      <c r="S32">
        <v>993452</v>
      </c>
      <c r="T32" t="s">
        <v>48</v>
      </c>
      <c r="U32">
        <v>1242457</v>
      </c>
    </row>
    <row r="33" spans="1:21">
      <c r="A33" t="s">
        <v>45</v>
      </c>
      <c r="B33" t="s">
        <v>48</v>
      </c>
      <c r="C33">
        <v>68435</v>
      </c>
      <c r="D33" t="s">
        <v>48</v>
      </c>
      <c r="E33">
        <v>36691</v>
      </c>
      <c r="F33" t="s">
        <v>48</v>
      </c>
      <c r="G33">
        <v>31553</v>
      </c>
      <c r="H33" t="s">
        <v>48</v>
      </c>
      <c r="I33">
        <v>26200</v>
      </c>
      <c r="J33" t="s">
        <v>48</v>
      </c>
      <c r="K33">
        <v>28000</v>
      </c>
      <c r="L33" t="s">
        <v>48</v>
      </c>
      <c r="M33">
        <v>28000</v>
      </c>
      <c r="N33" t="s">
        <v>48</v>
      </c>
      <c r="O33">
        <v>28000</v>
      </c>
      <c r="P33" t="s">
        <v>48</v>
      </c>
      <c r="Q33">
        <v>28000</v>
      </c>
      <c r="R33" t="s">
        <v>48</v>
      </c>
      <c r="S33">
        <v>28000</v>
      </c>
      <c r="T33" t="s">
        <v>48</v>
      </c>
      <c r="U33">
        <v>28000</v>
      </c>
    </row>
    <row r="34" spans="1:21">
      <c r="A34" s="9" t="s">
        <v>46</v>
      </c>
      <c r="B34" s="9"/>
      <c r="C34" s="9"/>
      <c r="D34" s="9"/>
      <c r="E34" s="9"/>
      <c r="F34" s="9"/>
      <c r="G34" s="9"/>
      <c r="H34" s="9"/>
      <c r="I34" s="9"/>
      <c r="J34" s="9"/>
      <c r="K34" s="9"/>
      <c r="L34" s="9"/>
      <c r="M34" s="9"/>
      <c r="N34" s="9"/>
      <c r="O34" s="9"/>
      <c r="P34" s="9"/>
      <c r="Q34" s="9"/>
      <c r="R34" s="9"/>
      <c r="S34" s="9"/>
      <c r="T34" s="9"/>
      <c r="U34" s="9"/>
    </row>
  </sheetData>
  <mergeCells count="15">
    <mergeCell ref="A34:U34"/>
    <mergeCell ref="A1:U1"/>
    <mergeCell ref="A2:U2"/>
    <mergeCell ref="A3:A5"/>
    <mergeCell ref="B3:U3"/>
    <mergeCell ref="B4:C4"/>
    <mergeCell ref="D4:E4"/>
    <mergeCell ref="F4:G4"/>
    <mergeCell ref="H4:I4"/>
    <mergeCell ref="J4:K4"/>
    <mergeCell ref="L4:M4"/>
    <mergeCell ref="N4:O4"/>
    <mergeCell ref="P4:Q4"/>
    <mergeCell ref="R4:S4"/>
    <mergeCell ref="T4:U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4"/>
  <sheetViews>
    <sheetView topLeftCell="I1" zoomScale="78" workbookViewId="0">
      <selection activeCell="K7" sqref="K6:K33"/>
    </sheetView>
  </sheetViews>
  <sheetFormatPr defaultRowHeight="14.4"/>
  <sheetData>
    <row r="1" spans="1:21">
      <c r="A1" s="9" t="s">
        <v>0</v>
      </c>
      <c r="B1" s="9"/>
      <c r="C1" s="9"/>
      <c r="D1" s="9"/>
      <c r="E1" s="9"/>
      <c r="F1" s="9"/>
      <c r="G1" s="9"/>
      <c r="H1" s="9"/>
      <c r="I1" s="9"/>
      <c r="J1" s="9"/>
      <c r="K1" s="9"/>
      <c r="L1" s="9"/>
      <c r="M1" s="9"/>
      <c r="N1" s="9"/>
      <c r="O1" s="9"/>
      <c r="P1" s="9"/>
      <c r="Q1" s="9"/>
      <c r="R1" s="9"/>
      <c r="S1" s="9"/>
      <c r="T1" s="9"/>
      <c r="U1" s="9"/>
    </row>
    <row r="2" spans="1:21">
      <c r="A2" s="9" t="s">
        <v>1</v>
      </c>
      <c r="B2" s="9"/>
      <c r="C2" s="9"/>
      <c r="D2" s="9"/>
      <c r="E2" s="9"/>
      <c r="F2" s="9"/>
      <c r="G2" s="9"/>
      <c r="H2" s="9"/>
      <c r="I2" s="9"/>
      <c r="J2" s="9"/>
      <c r="K2" s="9"/>
      <c r="L2" s="9"/>
      <c r="M2" s="9"/>
      <c r="N2" s="9"/>
      <c r="O2" s="9"/>
      <c r="P2" s="9"/>
      <c r="Q2" s="9"/>
      <c r="R2" s="9"/>
      <c r="S2" s="9"/>
      <c r="T2" s="9"/>
      <c r="U2" s="9"/>
    </row>
    <row r="3" spans="1:21">
      <c r="A3" s="9" t="s">
        <v>2</v>
      </c>
      <c r="B3" s="9" t="s">
        <v>3</v>
      </c>
      <c r="C3" s="9"/>
      <c r="D3" s="9"/>
      <c r="E3" s="9"/>
      <c r="F3" s="9"/>
      <c r="G3" s="9"/>
      <c r="H3" s="9"/>
      <c r="I3" s="9"/>
      <c r="J3" s="9"/>
      <c r="K3" s="9"/>
      <c r="L3" s="9"/>
      <c r="M3" s="9"/>
      <c r="N3" s="9"/>
      <c r="O3" s="9"/>
      <c r="P3" s="9"/>
      <c r="Q3" s="9"/>
      <c r="R3" s="9"/>
      <c r="S3" s="9"/>
      <c r="T3" s="9"/>
      <c r="U3" s="9"/>
    </row>
    <row r="4" spans="1:21">
      <c r="A4" s="9"/>
      <c r="B4" s="9" t="s">
        <v>4</v>
      </c>
      <c r="C4" s="9"/>
      <c r="D4" s="9" t="s">
        <v>5</v>
      </c>
      <c r="E4" s="9"/>
      <c r="F4" s="9" t="s">
        <v>6</v>
      </c>
      <c r="G4" s="9"/>
      <c r="H4" s="9" t="s">
        <v>7</v>
      </c>
      <c r="I4" s="9"/>
      <c r="J4" s="9" t="s">
        <v>8</v>
      </c>
      <c r="K4" s="9"/>
      <c r="L4" s="9" t="s">
        <v>9</v>
      </c>
      <c r="M4" s="9"/>
      <c r="N4" s="9" t="s">
        <v>10</v>
      </c>
      <c r="O4" s="9"/>
      <c r="P4" s="9" t="s">
        <v>11</v>
      </c>
      <c r="Q4" s="9"/>
      <c r="R4" s="9" t="s">
        <v>12</v>
      </c>
      <c r="S4" s="9"/>
      <c r="T4" s="9" t="s">
        <v>13</v>
      </c>
      <c r="U4" s="9"/>
    </row>
    <row r="5" spans="1:21">
      <c r="A5" s="9"/>
      <c r="B5" t="s">
        <v>14</v>
      </c>
      <c r="C5" t="s">
        <v>15</v>
      </c>
      <c r="D5" t="s">
        <v>14</v>
      </c>
      <c r="E5" t="s">
        <v>15</v>
      </c>
      <c r="F5" t="s">
        <v>14</v>
      </c>
      <c r="G5" t="s">
        <v>15</v>
      </c>
      <c r="H5" t="s">
        <v>14</v>
      </c>
      <c r="I5" t="s">
        <v>15</v>
      </c>
      <c r="J5" t="s">
        <v>14</v>
      </c>
      <c r="K5" t="s">
        <v>15</v>
      </c>
      <c r="L5" t="s">
        <v>14</v>
      </c>
      <c r="M5" t="s">
        <v>15</v>
      </c>
      <c r="N5" t="s">
        <v>14</v>
      </c>
      <c r="O5" t="s">
        <v>15</v>
      </c>
      <c r="P5" t="s">
        <v>14</v>
      </c>
      <c r="Q5" t="s">
        <v>15</v>
      </c>
      <c r="R5" t="s">
        <v>14</v>
      </c>
      <c r="S5" t="s">
        <v>15</v>
      </c>
      <c r="T5" t="s">
        <v>14</v>
      </c>
      <c r="U5" t="s">
        <v>15</v>
      </c>
    </row>
    <row r="6" spans="1:21">
      <c r="A6" t="s">
        <v>16</v>
      </c>
      <c r="B6">
        <v>573067</v>
      </c>
      <c r="C6">
        <v>267</v>
      </c>
      <c r="D6">
        <v>611967</v>
      </c>
      <c r="E6">
        <v>154</v>
      </c>
      <c r="F6">
        <v>608004</v>
      </c>
      <c r="G6">
        <v>180</v>
      </c>
      <c r="H6">
        <v>683098</v>
      </c>
      <c r="I6">
        <v>138</v>
      </c>
      <c r="J6">
        <v>656737</v>
      </c>
      <c r="K6">
        <v>201</v>
      </c>
      <c r="L6">
        <v>740035</v>
      </c>
      <c r="M6">
        <v>240</v>
      </c>
      <c r="N6">
        <v>805371</v>
      </c>
      <c r="O6">
        <v>160</v>
      </c>
      <c r="P6">
        <v>849127</v>
      </c>
      <c r="Q6">
        <v>157</v>
      </c>
      <c r="R6">
        <v>961705</v>
      </c>
      <c r="S6">
        <v>212</v>
      </c>
      <c r="T6">
        <v>1080130</v>
      </c>
      <c r="U6">
        <v>174</v>
      </c>
    </row>
    <row r="7" spans="1:21">
      <c r="A7" t="s">
        <v>17</v>
      </c>
      <c r="B7">
        <v>117668</v>
      </c>
      <c r="C7" t="s">
        <v>18</v>
      </c>
      <c r="D7">
        <v>107599</v>
      </c>
      <c r="E7" t="s">
        <v>18</v>
      </c>
      <c r="F7">
        <v>106538</v>
      </c>
      <c r="G7" t="s">
        <v>18</v>
      </c>
      <c r="H7">
        <v>97553</v>
      </c>
      <c r="I7" t="s">
        <v>18</v>
      </c>
      <c r="J7">
        <v>82836</v>
      </c>
      <c r="K7" t="s">
        <v>18</v>
      </c>
      <c r="L7">
        <v>79177</v>
      </c>
      <c r="M7" t="s">
        <v>18</v>
      </c>
      <c r="N7">
        <v>79458</v>
      </c>
      <c r="O7" t="s">
        <v>18</v>
      </c>
      <c r="P7">
        <v>84133</v>
      </c>
      <c r="Q7" t="s">
        <v>18</v>
      </c>
      <c r="R7">
        <v>89950</v>
      </c>
      <c r="S7" t="s">
        <v>18</v>
      </c>
      <c r="T7">
        <v>95060</v>
      </c>
      <c r="U7" t="s">
        <v>18</v>
      </c>
    </row>
    <row r="8" spans="1:21">
      <c r="A8" t="s">
        <v>19</v>
      </c>
      <c r="B8">
        <v>125850</v>
      </c>
      <c r="C8">
        <v>42</v>
      </c>
      <c r="D8">
        <v>118257</v>
      </c>
      <c r="E8">
        <v>20</v>
      </c>
      <c r="F8">
        <v>119475</v>
      </c>
      <c r="G8">
        <v>13</v>
      </c>
      <c r="H8">
        <v>128292</v>
      </c>
      <c r="I8">
        <v>6</v>
      </c>
      <c r="J8">
        <v>120557</v>
      </c>
      <c r="K8">
        <v>22</v>
      </c>
      <c r="L8">
        <v>117817</v>
      </c>
      <c r="M8">
        <v>30</v>
      </c>
      <c r="N8">
        <v>119128</v>
      </c>
      <c r="O8">
        <v>34</v>
      </c>
      <c r="P8">
        <v>112934</v>
      </c>
      <c r="Q8">
        <v>33</v>
      </c>
      <c r="R8">
        <v>118008</v>
      </c>
      <c r="S8">
        <v>24</v>
      </c>
      <c r="T8">
        <v>114401</v>
      </c>
      <c r="U8">
        <v>4</v>
      </c>
    </row>
    <row r="9" spans="1:21">
      <c r="A9" t="s">
        <v>20</v>
      </c>
      <c r="B9">
        <v>59223</v>
      </c>
      <c r="C9">
        <v>296</v>
      </c>
      <c r="D9">
        <v>65113</v>
      </c>
      <c r="E9">
        <v>250</v>
      </c>
      <c r="F9">
        <v>61462</v>
      </c>
      <c r="G9">
        <v>246</v>
      </c>
      <c r="H9">
        <v>57352</v>
      </c>
      <c r="I9">
        <v>121</v>
      </c>
      <c r="J9">
        <v>75815</v>
      </c>
      <c r="K9">
        <v>118</v>
      </c>
      <c r="L9">
        <v>81597</v>
      </c>
      <c r="M9">
        <v>130</v>
      </c>
      <c r="N9">
        <v>94052</v>
      </c>
      <c r="O9">
        <v>120</v>
      </c>
      <c r="P9">
        <v>123264</v>
      </c>
      <c r="Q9">
        <v>162</v>
      </c>
      <c r="R9">
        <v>150608</v>
      </c>
      <c r="S9">
        <v>150</v>
      </c>
      <c r="T9">
        <v>175947</v>
      </c>
      <c r="U9">
        <v>131</v>
      </c>
    </row>
    <row r="10" spans="1:21">
      <c r="A10" t="s">
        <v>21</v>
      </c>
      <c r="B10">
        <v>1249770</v>
      </c>
      <c r="C10">
        <v>347</v>
      </c>
      <c r="D10">
        <v>1468661</v>
      </c>
      <c r="E10">
        <v>360</v>
      </c>
      <c r="F10">
        <v>1565725</v>
      </c>
      <c r="G10">
        <v>254</v>
      </c>
      <c r="H10">
        <v>1725643</v>
      </c>
      <c r="I10">
        <v>242</v>
      </c>
      <c r="J10">
        <v>1698250</v>
      </c>
      <c r="K10">
        <v>233</v>
      </c>
      <c r="L10">
        <v>1806069</v>
      </c>
      <c r="M10">
        <v>208</v>
      </c>
      <c r="N10">
        <v>2010218</v>
      </c>
      <c r="O10">
        <v>210</v>
      </c>
      <c r="P10">
        <v>2158669</v>
      </c>
      <c r="Q10">
        <v>212</v>
      </c>
      <c r="R10">
        <v>2311915</v>
      </c>
      <c r="S10">
        <v>167</v>
      </c>
      <c r="T10">
        <v>2543535</v>
      </c>
      <c r="U10">
        <v>158</v>
      </c>
    </row>
    <row r="11" spans="1:21">
      <c r="A11" t="s">
        <v>22</v>
      </c>
      <c r="B11">
        <v>41258</v>
      </c>
      <c r="C11" t="s">
        <v>18</v>
      </c>
      <c r="D11">
        <v>33704</v>
      </c>
      <c r="E11" t="s">
        <v>18</v>
      </c>
      <c r="F11">
        <v>36232</v>
      </c>
      <c r="G11" t="s">
        <v>18</v>
      </c>
      <c r="H11">
        <v>41630</v>
      </c>
      <c r="I11" t="s">
        <v>18</v>
      </c>
      <c r="J11">
        <v>35761</v>
      </c>
      <c r="K11" t="s">
        <v>18</v>
      </c>
      <c r="L11">
        <v>36306</v>
      </c>
      <c r="M11" t="s">
        <v>18</v>
      </c>
      <c r="N11">
        <v>38242</v>
      </c>
      <c r="O11" t="s">
        <v>18</v>
      </c>
      <c r="P11">
        <v>28113</v>
      </c>
      <c r="Q11" t="s">
        <v>18</v>
      </c>
      <c r="R11">
        <v>27184</v>
      </c>
      <c r="S11" t="s">
        <v>18</v>
      </c>
      <c r="T11">
        <v>24631</v>
      </c>
      <c r="U11" t="s">
        <v>18</v>
      </c>
    </row>
    <row r="12" spans="1:21">
      <c r="A12" t="s">
        <v>23</v>
      </c>
      <c r="B12">
        <v>1037140</v>
      </c>
      <c r="C12" t="s">
        <v>18</v>
      </c>
      <c r="D12">
        <v>1203553</v>
      </c>
      <c r="E12" t="s">
        <v>18</v>
      </c>
      <c r="F12">
        <v>1200125</v>
      </c>
      <c r="G12" t="s">
        <v>18</v>
      </c>
      <c r="H12">
        <v>1282462</v>
      </c>
      <c r="I12" t="s">
        <v>18</v>
      </c>
      <c r="J12">
        <v>1361419</v>
      </c>
      <c r="K12" t="s">
        <v>18</v>
      </c>
      <c r="L12">
        <v>1426906</v>
      </c>
      <c r="M12" t="s">
        <v>18</v>
      </c>
      <c r="N12">
        <v>1544660</v>
      </c>
      <c r="O12" t="s">
        <v>18</v>
      </c>
      <c r="P12">
        <v>1734385</v>
      </c>
      <c r="Q12" t="s">
        <v>18</v>
      </c>
      <c r="R12">
        <v>1873313</v>
      </c>
      <c r="S12" t="s">
        <v>18</v>
      </c>
      <c r="T12">
        <v>2151789</v>
      </c>
      <c r="U12" t="s">
        <v>18</v>
      </c>
    </row>
    <row r="13" spans="1:21">
      <c r="A13" t="s">
        <v>24</v>
      </c>
      <c r="B13">
        <v>2005779</v>
      </c>
      <c r="C13">
        <v>210</v>
      </c>
      <c r="D13">
        <v>1829354</v>
      </c>
      <c r="E13">
        <v>217</v>
      </c>
      <c r="F13">
        <v>1584338</v>
      </c>
      <c r="G13">
        <v>189</v>
      </c>
      <c r="H13">
        <v>1803687</v>
      </c>
      <c r="I13">
        <v>197</v>
      </c>
      <c r="J13">
        <v>1819981</v>
      </c>
      <c r="K13">
        <v>220</v>
      </c>
      <c r="L13">
        <v>1721828</v>
      </c>
      <c r="M13">
        <v>222</v>
      </c>
      <c r="N13">
        <v>1719030</v>
      </c>
      <c r="O13">
        <v>184</v>
      </c>
      <c r="P13">
        <v>1810779</v>
      </c>
      <c r="Q13">
        <v>170</v>
      </c>
      <c r="R13">
        <v>1920950</v>
      </c>
      <c r="S13">
        <v>154</v>
      </c>
      <c r="T13">
        <v>2015293</v>
      </c>
      <c r="U13">
        <v>168</v>
      </c>
    </row>
    <row r="14" spans="1:21">
      <c r="A14" t="s">
        <v>25</v>
      </c>
      <c r="B14">
        <v>1491554</v>
      </c>
      <c r="C14">
        <v>161</v>
      </c>
      <c r="D14">
        <v>1480523</v>
      </c>
      <c r="E14">
        <v>141</v>
      </c>
      <c r="F14">
        <v>1343593</v>
      </c>
      <c r="G14">
        <v>132</v>
      </c>
      <c r="H14">
        <v>1594307</v>
      </c>
      <c r="I14">
        <v>141</v>
      </c>
      <c r="J14">
        <v>1608186</v>
      </c>
      <c r="K14">
        <v>176</v>
      </c>
      <c r="L14">
        <v>1618462</v>
      </c>
      <c r="M14">
        <v>157</v>
      </c>
      <c r="N14">
        <v>1654236</v>
      </c>
      <c r="O14">
        <v>158</v>
      </c>
      <c r="P14">
        <v>1739147</v>
      </c>
      <c r="Q14">
        <v>186</v>
      </c>
      <c r="R14">
        <v>1882048</v>
      </c>
      <c r="S14">
        <v>175</v>
      </c>
      <c r="T14">
        <v>1973449</v>
      </c>
      <c r="U14">
        <v>204</v>
      </c>
    </row>
    <row r="15" spans="1:21">
      <c r="A15" t="s">
        <v>26</v>
      </c>
      <c r="B15">
        <v>1503104</v>
      </c>
      <c r="C15">
        <v>2230</v>
      </c>
      <c r="D15">
        <v>1492991</v>
      </c>
      <c r="E15">
        <v>2198</v>
      </c>
      <c r="F15">
        <v>1435573</v>
      </c>
      <c r="G15">
        <v>2532</v>
      </c>
      <c r="H15">
        <v>1521661</v>
      </c>
      <c r="I15">
        <v>2575</v>
      </c>
      <c r="J15">
        <v>1469310</v>
      </c>
      <c r="K15">
        <v>2398</v>
      </c>
      <c r="L15">
        <v>1365496</v>
      </c>
      <c r="M15">
        <v>2436</v>
      </c>
      <c r="N15">
        <v>1384688</v>
      </c>
      <c r="O15">
        <v>2498</v>
      </c>
      <c r="P15">
        <v>1408091</v>
      </c>
      <c r="Q15">
        <v>2332</v>
      </c>
      <c r="R15">
        <v>1440333</v>
      </c>
      <c r="S15">
        <v>2335</v>
      </c>
      <c r="T15">
        <v>1452932</v>
      </c>
      <c r="U15">
        <v>2550</v>
      </c>
    </row>
    <row r="16" spans="1:21">
      <c r="A16" t="s">
        <v>27</v>
      </c>
      <c r="B16">
        <v>288548</v>
      </c>
      <c r="C16">
        <v>230</v>
      </c>
      <c r="D16">
        <v>228991</v>
      </c>
      <c r="E16">
        <v>123</v>
      </c>
      <c r="F16">
        <v>204136</v>
      </c>
      <c r="G16">
        <v>148</v>
      </c>
      <c r="H16">
        <v>238073</v>
      </c>
      <c r="I16">
        <v>137</v>
      </c>
      <c r="J16">
        <v>300196</v>
      </c>
      <c r="K16">
        <v>180</v>
      </c>
      <c r="L16">
        <v>315424</v>
      </c>
      <c r="M16">
        <v>245</v>
      </c>
      <c r="N16">
        <v>317266</v>
      </c>
      <c r="O16">
        <v>197</v>
      </c>
      <c r="P16">
        <v>262580</v>
      </c>
      <c r="Q16">
        <v>171</v>
      </c>
      <c r="R16">
        <v>303246</v>
      </c>
      <c r="S16">
        <v>194</v>
      </c>
      <c r="T16">
        <v>306885</v>
      </c>
      <c r="U16">
        <v>202</v>
      </c>
    </row>
    <row r="17" spans="1:21">
      <c r="A17" t="s">
        <v>28</v>
      </c>
      <c r="B17">
        <v>330585</v>
      </c>
      <c r="C17">
        <v>403</v>
      </c>
      <c r="D17">
        <v>287805</v>
      </c>
      <c r="E17">
        <v>439</v>
      </c>
      <c r="F17">
        <v>332362</v>
      </c>
      <c r="G17">
        <v>287</v>
      </c>
      <c r="H17">
        <v>319900</v>
      </c>
      <c r="I17">
        <v>380</v>
      </c>
      <c r="J17">
        <v>361742</v>
      </c>
      <c r="K17">
        <v>605</v>
      </c>
      <c r="L17">
        <v>330461</v>
      </c>
      <c r="M17">
        <v>479</v>
      </c>
      <c r="N17">
        <v>369045</v>
      </c>
      <c r="O17">
        <v>454</v>
      </c>
      <c r="P17">
        <v>308712</v>
      </c>
      <c r="Q17">
        <v>575</v>
      </c>
      <c r="R17">
        <v>346881</v>
      </c>
      <c r="S17">
        <v>625</v>
      </c>
      <c r="T17">
        <v>344634</v>
      </c>
      <c r="U17">
        <v>861</v>
      </c>
    </row>
    <row r="18" spans="1:21">
      <c r="A18" t="s">
        <v>29</v>
      </c>
      <c r="B18">
        <v>782413</v>
      </c>
      <c r="C18">
        <v>3731</v>
      </c>
      <c r="D18">
        <v>614679</v>
      </c>
      <c r="E18">
        <v>2527</v>
      </c>
      <c r="F18">
        <v>584297</v>
      </c>
      <c r="G18">
        <v>1602</v>
      </c>
      <c r="H18">
        <v>623815</v>
      </c>
      <c r="I18">
        <v>1501</v>
      </c>
      <c r="J18">
        <v>680757</v>
      </c>
      <c r="K18">
        <v>1287</v>
      </c>
      <c r="L18">
        <v>592422</v>
      </c>
      <c r="M18">
        <v>1541</v>
      </c>
      <c r="N18">
        <v>720780</v>
      </c>
      <c r="O18">
        <v>1442</v>
      </c>
      <c r="P18">
        <v>667445</v>
      </c>
      <c r="Q18">
        <v>1373</v>
      </c>
      <c r="R18">
        <v>694196</v>
      </c>
      <c r="S18">
        <v>1460</v>
      </c>
      <c r="T18">
        <v>630478</v>
      </c>
      <c r="U18">
        <v>2211</v>
      </c>
    </row>
    <row r="19" spans="1:21">
      <c r="A19" t="s">
        <v>30</v>
      </c>
      <c r="B19">
        <v>540405</v>
      </c>
      <c r="C19">
        <v>68</v>
      </c>
      <c r="D19">
        <v>428604</v>
      </c>
      <c r="E19">
        <v>72</v>
      </c>
      <c r="F19">
        <v>404493</v>
      </c>
      <c r="G19">
        <v>111</v>
      </c>
      <c r="H19">
        <v>481571</v>
      </c>
      <c r="I19">
        <v>105</v>
      </c>
      <c r="J19">
        <v>409887</v>
      </c>
      <c r="K19">
        <v>124</v>
      </c>
      <c r="L19">
        <v>461101</v>
      </c>
      <c r="M19">
        <v>158</v>
      </c>
      <c r="N19">
        <v>442350</v>
      </c>
      <c r="O19">
        <v>139</v>
      </c>
      <c r="P19">
        <v>468136</v>
      </c>
      <c r="Q19">
        <v>147</v>
      </c>
      <c r="R19">
        <v>424033</v>
      </c>
      <c r="S19">
        <v>213</v>
      </c>
      <c r="T19">
        <v>439948</v>
      </c>
      <c r="U19">
        <v>190</v>
      </c>
    </row>
    <row r="20" spans="1:21">
      <c r="A20" t="s">
        <v>31</v>
      </c>
      <c r="B20">
        <v>359618</v>
      </c>
      <c r="C20">
        <v>98</v>
      </c>
      <c r="D20">
        <v>343090</v>
      </c>
      <c r="E20">
        <v>76</v>
      </c>
      <c r="F20">
        <v>262675</v>
      </c>
      <c r="G20">
        <v>22</v>
      </c>
      <c r="H20">
        <v>334945</v>
      </c>
      <c r="I20" t="s">
        <v>18</v>
      </c>
      <c r="J20">
        <v>159459</v>
      </c>
      <c r="K20">
        <v>42</v>
      </c>
      <c r="L20">
        <v>262702</v>
      </c>
      <c r="M20">
        <v>120</v>
      </c>
      <c r="N20">
        <v>275690</v>
      </c>
      <c r="O20">
        <v>148</v>
      </c>
      <c r="P20">
        <v>286925</v>
      </c>
      <c r="Q20">
        <v>251</v>
      </c>
      <c r="R20">
        <v>297674</v>
      </c>
      <c r="S20">
        <v>260</v>
      </c>
      <c r="T20">
        <v>304631</v>
      </c>
      <c r="U20">
        <v>160</v>
      </c>
    </row>
    <row r="21" spans="1:21">
      <c r="A21" t="s">
        <v>32</v>
      </c>
      <c r="B21">
        <v>4579150</v>
      </c>
      <c r="C21">
        <v>6447</v>
      </c>
      <c r="D21">
        <v>4846152</v>
      </c>
      <c r="E21">
        <v>7103</v>
      </c>
      <c r="F21">
        <v>4315806</v>
      </c>
      <c r="G21">
        <v>7096</v>
      </c>
      <c r="H21">
        <v>3824862</v>
      </c>
      <c r="I21">
        <v>5056</v>
      </c>
      <c r="J21">
        <v>3977002</v>
      </c>
      <c r="K21">
        <v>4643</v>
      </c>
      <c r="L21">
        <v>4012783</v>
      </c>
      <c r="M21">
        <v>4415</v>
      </c>
      <c r="N21">
        <v>4094295</v>
      </c>
      <c r="O21">
        <v>4223</v>
      </c>
      <c r="P21">
        <v>4146367</v>
      </c>
      <c r="Q21">
        <v>4784</v>
      </c>
      <c r="R21">
        <v>4340110</v>
      </c>
      <c r="S21">
        <v>5042</v>
      </c>
      <c r="T21">
        <v>4522809</v>
      </c>
      <c r="U21">
        <v>6126</v>
      </c>
    </row>
    <row r="22" spans="1:21">
      <c r="A22" t="s">
        <v>33</v>
      </c>
      <c r="B22">
        <v>5368786</v>
      </c>
      <c r="C22">
        <v>9293</v>
      </c>
      <c r="D22">
        <v>5334772</v>
      </c>
      <c r="E22">
        <v>9758</v>
      </c>
      <c r="F22">
        <v>5373130</v>
      </c>
      <c r="G22">
        <v>10303</v>
      </c>
      <c r="H22">
        <v>5240285</v>
      </c>
      <c r="I22">
        <v>7556</v>
      </c>
      <c r="J22">
        <v>5311185</v>
      </c>
      <c r="K22">
        <v>7320</v>
      </c>
      <c r="L22">
        <v>5560336</v>
      </c>
      <c r="M22">
        <v>7039</v>
      </c>
      <c r="N22">
        <v>5800675</v>
      </c>
      <c r="O22">
        <v>6871</v>
      </c>
      <c r="P22">
        <v>5944278</v>
      </c>
      <c r="Q22">
        <v>7336</v>
      </c>
      <c r="R22">
        <v>6249522</v>
      </c>
      <c r="S22">
        <v>7720</v>
      </c>
      <c r="T22">
        <v>6679784</v>
      </c>
      <c r="U22">
        <v>7485</v>
      </c>
    </row>
    <row r="23" spans="1:21">
      <c r="A23" t="s">
        <v>34</v>
      </c>
      <c r="B23">
        <v>657624</v>
      </c>
      <c r="C23">
        <v>2605</v>
      </c>
      <c r="D23">
        <v>644523</v>
      </c>
      <c r="E23">
        <v>2503</v>
      </c>
      <c r="F23">
        <v>613805</v>
      </c>
      <c r="G23">
        <v>2510</v>
      </c>
      <c r="H23">
        <v>584247</v>
      </c>
      <c r="I23">
        <v>2532</v>
      </c>
      <c r="J23">
        <v>558885</v>
      </c>
      <c r="K23">
        <v>2629</v>
      </c>
      <c r="L23">
        <v>558258</v>
      </c>
      <c r="M23">
        <v>2583</v>
      </c>
      <c r="N23">
        <v>565046</v>
      </c>
      <c r="O23">
        <v>2618</v>
      </c>
      <c r="P23">
        <v>578947</v>
      </c>
      <c r="Q23">
        <v>2503</v>
      </c>
      <c r="R23">
        <v>599778</v>
      </c>
      <c r="S23">
        <v>2364</v>
      </c>
      <c r="T23">
        <v>609499</v>
      </c>
      <c r="U23">
        <v>2352</v>
      </c>
    </row>
    <row r="24" spans="1:21">
      <c r="A24" t="s">
        <v>35</v>
      </c>
      <c r="B24">
        <v>170600</v>
      </c>
      <c r="C24">
        <v>2714</v>
      </c>
      <c r="D24">
        <v>148284</v>
      </c>
      <c r="E24">
        <v>2529</v>
      </c>
      <c r="F24">
        <v>123939</v>
      </c>
      <c r="G24">
        <v>2444</v>
      </c>
      <c r="H24">
        <v>113891</v>
      </c>
      <c r="I24">
        <v>2550</v>
      </c>
      <c r="J24">
        <v>109210</v>
      </c>
      <c r="K24">
        <v>2325</v>
      </c>
      <c r="L24">
        <v>113309</v>
      </c>
      <c r="M24">
        <v>2132</v>
      </c>
      <c r="N24">
        <v>112252</v>
      </c>
      <c r="O24">
        <v>2268</v>
      </c>
      <c r="P24">
        <v>115790</v>
      </c>
      <c r="Q24">
        <v>2310</v>
      </c>
      <c r="R24">
        <v>113487</v>
      </c>
      <c r="S24">
        <v>2179</v>
      </c>
      <c r="T24">
        <v>105268</v>
      </c>
      <c r="U24">
        <v>1953</v>
      </c>
    </row>
    <row r="25" spans="1:21">
      <c r="A25" t="s">
        <v>36</v>
      </c>
      <c r="B25" t="s">
        <v>37</v>
      </c>
      <c r="C25" t="s">
        <v>37</v>
      </c>
      <c r="D25" t="s">
        <v>37</v>
      </c>
      <c r="E25" t="s">
        <v>37</v>
      </c>
      <c r="F25" t="s">
        <v>37</v>
      </c>
      <c r="G25" t="s">
        <v>37</v>
      </c>
      <c r="H25" t="s">
        <v>37</v>
      </c>
      <c r="I25" t="s">
        <v>37</v>
      </c>
      <c r="J25" t="s">
        <v>37</v>
      </c>
      <c r="K25" t="s">
        <v>37</v>
      </c>
      <c r="L25" t="s">
        <v>37</v>
      </c>
      <c r="M25" t="s">
        <v>37</v>
      </c>
      <c r="N25" t="s">
        <v>37</v>
      </c>
      <c r="O25" t="s">
        <v>37</v>
      </c>
      <c r="P25" t="s">
        <v>37</v>
      </c>
      <c r="Q25" t="s">
        <v>37</v>
      </c>
      <c r="R25" t="s">
        <v>37</v>
      </c>
      <c r="S25" t="s">
        <v>37</v>
      </c>
      <c r="T25" t="s">
        <v>37</v>
      </c>
      <c r="U25" t="s">
        <v>37</v>
      </c>
    </row>
    <row r="26" spans="1:21">
      <c r="A26" t="s">
        <v>38</v>
      </c>
      <c r="B26">
        <v>8320378</v>
      </c>
      <c r="C26">
        <v>12685</v>
      </c>
      <c r="D26">
        <v>8425060</v>
      </c>
      <c r="E26">
        <v>14965</v>
      </c>
      <c r="F26">
        <v>8624268</v>
      </c>
      <c r="G26">
        <v>14819</v>
      </c>
      <c r="H26">
        <v>8820082</v>
      </c>
      <c r="I26">
        <v>12108</v>
      </c>
      <c r="J26">
        <v>8650001</v>
      </c>
      <c r="K26">
        <v>11075</v>
      </c>
      <c r="L26">
        <v>8842804</v>
      </c>
      <c r="M26">
        <v>11195</v>
      </c>
      <c r="N26">
        <v>8857885</v>
      </c>
      <c r="O26">
        <v>10090</v>
      </c>
      <c r="P26">
        <v>8795581</v>
      </c>
      <c r="Q26">
        <v>9815</v>
      </c>
      <c r="R26">
        <v>9056594</v>
      </c>
      <c r="S26">
        <v>11525</v>
      </c>
      <c r="T26">
        <v>9198986</v>
      </c>
      <c r="U26">
        <v>11475</v>
      </c>
    </row>
    <row r="27" spans="1:21">
      <c r="A27" t="s">
        <v>39</v>
      </c>
      <c r="B27">
        <v>10704717</v>
      </c>
      <c r="C27">
        <v>4396</v>
      </c>
      <c r="D27">
        <v>10619322</v>
      </c>
      <c r="E27">
        <v>3746</v>
      </c>
      <c r="F27">
        <v>10704291</v>
      </c>
      <c r="G27">
        <v>3836</v>
      </c>
      <c r="H27">
        <v>10614860</v>
      </c>
      <c r="I27">
        <v>4154</v>
      </c>
      <c r="J27">
        <v>10451016</v>
      </c>
      <c r="K27">
        <v>3994</v>
      </c>
      <c r="L27">
        <v>10639983</v>
      </c>
      <c r="M27">
        <v>3800</v>
      </c>
      <c r="N27">
        <v>10865644</v>
      </c>
      <c r="O27">
        <v>3642</v>
      </c>
      <c r="P27">
        <v>10988227</v>
      </c>
      <c r="Q27">
        <v>3593</v>
      </c>
      <c r="R27">
        <v>11489689</v>
      </c>
      <c r="S27">
        <v>3403</v>
      </c>
      <c r="T27">
        <v>11464429</v>
      </c>
      <c r="U27">
        <v>3612</v>
      </c>
    </row>
    <row r="28" spans="1:21">
      <c r="A28" t="s">
        <v>40</v>
      </c>
      <c r="B28">
        <v>1615086</v>
      </c>
      <c r="C28">
        <v>2735</v>
      </c>
      <c r="D28">
        <v>1581244</v>
      </c>
      <c r="E28">
        <v>2644</v>
      </c>
      <c r="F28">
        <v>1573363</v>
      </c>
      <c r="G28">
        <v>2769</v>
      </c>
      <c r="H28">
        <v>1548103</v>
      </c>
      <c r="I28">
        <v>2699</v>
      </c>
      <c r="J28">
        <v>1512716</v>
      </c>
      <c r="K28">
        <v>2555</v>
      </c>
      <c r="L28">
        <v>1505000</v>
      </c>
      <c r="M28">
        <v>2462</v>
      </c>
      <c r="N28">
        <v>1509824</v>
      </c>
      <c r="O28">
        <v>2518</v>
      </c>
      <c r="P28">
        <v>1569221</v>
      </c>
      <c r="Q28">
        <v>2507</v>
      </c>
      <c r="R28">
        <v>1668620</v>
      </c>
      <c r="S28">
        <v>1976</v>
      </c>
      <c r="T28">
        <v>1667894</v>
      </c>
      <c r="U28">
        <v>1993</v>
      </c>
    </row>
    <row r="29" spans="1:21">
      <c r="A29" t="s">
        <v>41</v>
      </c>
      <c r="B29">
        <v>9031185</v>
      </c>
      <c r="C29">
        <v>2373</v>
      </c>
      <c r="D29">
        <v>8941887</v>
      </c>
      <c r="E29">
        <v>2269</v>
      </c>
      <c r="F29">
        <v>8869923</v>
      </c>
      <c r="G29">
        <v>2317</v>
      </c>
      <c r="H29">
        <v>9055832</v>
      </c>
      <c r="I29">
        <v>2277</v>
      </c>
      <c r="J29">
        <v>8995602</v>
      </c>
      <c r="K29">
        <v>1954</v>
      </c>
      <c r="L29">
        <v>9170906</v>
      </c>
      <c r="M29">
        <v>2120</v>
      </c>
      <c r="N29">
        <v>9500873</v>
      </c>
      <c r="O29">
        <v>2090</v>
      </c>
      <c r="P29">
        <v>9954418</v>
      </c>
      <c r="Q29">
        <v>2041</v>
      </c>
      <c r="R29">
        <v>10355832</v>
      </c>
      <c r="S29">
        <v>1964</v>
      </c>
      <c r="T29">
        <v>10664286</v>
      </c>
      <c r="U29">
        <v>1940</v>
      </c>
    </row>
    <row r="30" spans="1:21">
      <c r="A30" t="s">
        <v>42</v>
      </c>
      <c r="B30">
        <v>4555459</v>
      </c>
      <c r="C30">
        <v>69</v>
      </c>
      <c r="D30">
        <v>4743631</v>
      </c>
      <c r="E30">
        <v>69</v>
      </c>
      <c r="F30">
        <v>4899405</v>
      </c>
      <c r="G30">
        <v>77</v>
      </c>
      <c r="H30">
        <v>5282706</v>
      </c>
      <c r="I30">
        <v>66</v>
      </c>
      <c r="J30">
        <v>5467545</v>
      </c>
      <c r="K30">
        <v>71</v>
      </c>
      <c r="L30">
        <v>5791872</v>
      </c>
      <c r="M30">
        <v>47</v>
      </c>
      <c r="N30">
        <v>5956336</v>
      </c>
      <c r="O30">
        <v>47</v>
      </c>
      <c r="P30">
        <v>6175166</v>
      </c>
      <c r="Q30">
        <v>40</v>
      </c>
      <c r="R30">
        <v>6925653</v>
      </c>
      <c r="S30">
        <v>49</v>
      </c>
      <c r="T30">
        <v>7276371</v>
      </c>
      <c r="U30">
        <v>51</v>
      </c>
    </row>
    <row r="31" spans="1:21">
      <c r="A31" t="s">
        <v>43</v>
      </c>
      <c r="B31">
        <v>13552610</v>
      </c>
      <c r="C31">
        <v>232</v>
      </c>
      <c r="D31">
        <v>14112886</v>
      </c>
      <c r="E31">
        <v>227</v>
      </c>
      <c r="F31">
        <v>14297088</v>
      </c>
      <c r="G31">
        <v>243</v>
      </c>
      <c r="H31">
        <v>15586181</v>
      </c>
      <c r="I31">
        <v>227</v>
      </c>
      <c r="J31">
        <v>15515876</v>
      </c>
      <c r="K31">
        <v>184</v>
      </c>
      <c r="L31">
        <v>16632047</v>
      </c>
      <c r="M31">
        <v>169</v>
      </c>
      <c r="N31">
        <v>17187508</v>
      </c>
      <c r="O31">
        <v>177</v>
      </c>
      <c r="P31">
        <v>17954671</v>
      </c>
      <c r="Q31">
        <v>183</v>
      </c>
      <c r="R31">
        <v>19158124</v>
      </c>
      <c r="S31">
        <v>176</v>
      </c>
      <c r="T31">
        <v>21256358</v>
      </c>
      <c r="U31">
        <v>171</v>
      </c>
    </row>
    <row r="32" spans="1:21">
      <c r="A32" t="s">
        <v>44</v>
      </c>
      <c r="B32">
        <v>6135201</v>
      </c>
      <c r="C32">
        <v>11720</v>
      </c>
      <c r="D32">
        <v>6114291</v>
      </c>
      <c r="E32">
        <v>10653</v>
      </c>
      <c r="F32">
        <v>6049297</v>
      </c>
      <c r="G32">
        <v>11452</v>
      </c>
      <c r="H32">
        <v>6431544</v>
      </c>
      <c r="I32">
        <v>16307</v>
      </c>
      <c r="J32">
        <v>6344144</v>
      </c>
      <c r="K32">
        <v>14682</v>
      </c>
      <c r="L32">
        <v>6663002</v>
      </c>
      <c r="M32">
        <v>12313</v>
      </c>
      <c r="N32">
        <v>6929925</v>
      </c>
      <c r="O32">
        <v>11368</v>
      </c>
      <c r="P32">
        <v>7327842</v>
      </c>
      <c r="Q32">
        <v>10677</v>
      </c>
      <c r="R32">
        <v>7638596</v>
      </c>
      <c r="S32">
        <v>11624</v>
      </c>
      <c r="T32">
        <v>8454151</v>
      </c>
      <c r="U32">
        <v>14489</v>
      </c>
    </row>
    <row r="33" spans="1:21">
      <c r="A33" t="s">
        <v>45</v>
      </c>
      <c r="B33">
        <v>175023</v>
      </c>
      <c r="C33">
        <v>1011</v>
      </c>
      <c r="D33">
        <v>160622</v>
      </c>
      <c r="E33">
        <v>529</v>
      </c>
      <c r="F33">
        <v>166419</v>
      </c>
      <c r="G33">
        <v>413</v>
      </c>
      <c r="H33">
        <v>162894</v>
      </c>
      <c r="I33">
        <v>328</v>
      </c>
      <c r="J33">
        <v>164900</v>
      </c>
      <c r="K33">
        <v>350</v>
      </c>
      <c r="L33">
        <v>163915</v>
      </c>
      <c r="M33">
        <v>350</v>
      </c>
      <c r="N33">
        <v>171535</v>
      </c>
      <c r="O33">
        <v>350</v>
      </c>
      <c r="P33">
        <v>166835</v>
      </c>
      <c r="Q33">
        <v>350</v>
      </c>
      <c r="R33">
        <v>173925</v>
      </c>
      <c r="S33">
        <v>350</v>
      </c>
      <c r="T33">
        <v>175965</v>
      </c>
      <c r="U33">
        <v>350</v>
      </c>
    </row>
    <row r="34" spans="1:21">
      <c r="A34" s="9" t="s">
        <v>46</v>
      </c>
      <c r="B34" s="9"/>
      <c r="C34" s="9"/>
      <c r="D34" s="9"/>
      <c r="E34" s="9"/>
      <c r="F34" s="9"/>
      <c r="G34" s="9"/>
      <c r="H34" s="9"/>
      <c r="I34" s="9"/>
      <c r="J34" s="9"/>
      <c r="K34" s="9"/>
      <c r="L34" s="9"/>
      <c r="M34" s="9"/>
      <c r="N34" s="9"/>
      <c r="O34" s="9"/>
      <c r="P34" s="9"/>
      <c r="Q34" s="9"/>
      <c r="R34" s="9"/>
      <c r="S34" s="9"/>
      <c r="T34" s="9"/>
      <c r="U34" s="9"/>
    </row>
  </sheetData>
  <mergeCells count="15">
    <mergeCell ref="A34:U34"/>
    <mergeCell ref="A1:U1"/>
    <mergeCell ref="A2:U2"/>
    <mergeCell ref="A3:A5"/>
    <mergeCell ref="B3:U3"/>
    <mergeCell ref="B4:C4"/>
    <mergeCell ref="D4:E4"/>
    <mergeCell ref="F4:G4"/>
    <mergeCell ref="H4:I4"/>
    <mergeCell ref="J4:K4"/>
    <mergeCell ref="L4:M4"/>
    <mergeCell ref="N4:O4"/>
    <mergeCell ref="P4:Q4"/>
    <mergeCell ref="R4:S4"/>
    <mergeCell ref="T4:U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34"/>
  <sheetViews>
    <sheetView topLeftCell="A9" zoomScale="78" zoomScaleNormal="55" workbookViewId="0">
      <selection activeCell="I12" sqref="A12:XFD12"/>
    </sheetView>
  </sheetViews>
  <sheetFormatPr defaultRowHeight="14.4"/>
  <sheetData>
    <row r="1" spans="1:21">
      <c r="A1" s="9" t="s">
        <v>0</v>
      </c>
      <c r="B1" s="9"/>
      <c r="C1" s="9"/>
      <c r="D1" s="9"/>
      <c r="E1" s="9"/>
      <c r="F1" s="9"/>
      <c r="G1" s="9"/>
      <c r="H1" s="9"/>
      <c r="I1" s="9"/>
      <c r="J1" s="9"/>
      <c r="K1" s="9"/>
      <c r="L1" s="9"/>
      <c r="M1" s="9"/>
      <c r="N1" s="9"/>
      <c r="O1" s="9"/>
      <c r="P1" s="9"/>
      <c r="Q1" s="9"/>
      <c r="R1" s="9"/>
      <c r="S1" s="9"/>
      <c r="T1" s="9"/>
      <c r="U1" s="9"/>
    </row>
    <row r="2" spans="1:21">
      <c r="A2" s="9" t="s">
        <v>49</v>
      </c>
      <c r="B2" s="9"/>
      <c r="C2" s="9"/>
      <c r="D2" s="9"/>
      <c r="E2" s="9"/>
      <c r="F2" s="9"/>
      <c r="G2" s="9"/>
      <c r="H2" s="9"/>
      <c r="I2" s="9"/>
      <c r="J2" s="9"/>
      <c r="K2" s="9"/>
      <c r="L2" s="9"/>
      <c r="M2" s="9"/>
      <c r="N2" s="9"/>
      <c r="O2" s="9"/>
      <c r="P2" s="9"/>
      <c r="Q2" s="9"/>
      <c r="R2" s="9"/>
      <c r="S2" s="9"/>
      <c r="T2" s="9"/>
      <c r="U2" s="9"/>
    </row>
    <row r="3" spans="1:21">
      <c r="A3" s="9" t="s">
        <v>2</v>
      </c>
      <c r="B3" s="9" t="s">
        <v>3</v>
      </c>
      <c r="C3" s="9"/>
      <c r="D3" s="9"/>
      <c r="E3" s="9"/>
      <c r="F3" s="9"/>
      <c r="G3" s="9"/>
      <c r="H3" s="9"/>
      <c r="I3" s="9"/>
      <c r="J3" s="9"/>
      <c r="K3" s="9"/>
      <c r="L3" s="9"/>
      <c r="M3" s="9"/>
      <c r="N3" s="9"/>
      <c r="O3" s="9"/>
      <c r="P3" s="9"/>
      <c r="Q3" s="9"/>
      <c r="R3" s="9"/>
      <c r="S3" s="9"/>
      <c r="T3" s="9"/>
      <c r="U3" s="9"/>
    </row>
    <row r="4" spans="1:21">
      <c r="A4" s="9"/>
      <c r="B4" s="9" t="s">
        <v>4</v>
      </c>
      <c r="C4" s="9"/>
      <c r="D4" s="9" t="s">
        <v>5</v>
      </c>
      <c r="E4" s="9"/>
      <c r="F4" s="9" t="s">
        <v>6</v>
      </c>
      <c r="G4" s="9"/>
      <c r="H4" s="9" t="s">
        <v>7</v>
      </c>
      <c r="I4" s="9"/>
      <c r="J4" s="9" t="s">
        <v>8</v>
      </c>
      <c r="K4" s="9"/>
      <c r="L4" s="9" t="s">
        <v>9</v>
      </c>
      <c r="M4" s="9"/>
      <c r="N4" s="9" t="s">
        <v>10</v>
      </c>
      <c r="O4" s="9"/>
      <c r="P4" s="9" t="s">
        <v>11</v>
      </c>
      <c r="Q4" s="9"/>
      <c r="R4" s="9" t="s">
        <v>12</v>
      </c>
      <c r="S4" s="9"/>
      <c r="T4" s="9" t="s">
        <v>13</v>
      </c>
      <c r="U4" s="9"/>
    </row>
    <row r="5" spans="1:21">
      <c r="A5" s="9"/>
      <c r="B5" t="s">
        <v>14</v>
      </c>
      <c r="C5" t="s">
        <v>15</v>
      </c>
      <c r="D5" t="s">
        <v>14</v>
      </c>
      <c r="E5" t="s">
        <v>15</v>
      </c>
      <c r="F5" t="s">
        <v>14</v>
      </c>
      <c r="G5" t="s">
        <v>15</v>
      </c>
      <c r="H5" t="s">
        <v>14</v>
      </c>
      <c r="I5" t="s">
        <v>15</v>
      </c>
      <c r="J5" t="s">
        <v>14</v>
      </c>
      <c r="K5" t="s">
        <v>15</v>
      </c>
      <c r="L5" t="s">
        <v>14</v>
      </c>
      <c r="M5" t="s">
        <v>15</v>
      </c>
      <c r="N5" t="s">
        <v>14</v>
      </c>
      <c r="O5" t="s">
        <v>15</v>
      </c>
      <c r="P5" t="s">
        <v>14</v>
      </c>
      <c r="Q5" t="s">
        <v>15</v>
      </c>
      <c r="R5" t="s">
        <v>14</v>
      </c>
      <c r="S5" t="s">
        <v>15</v>
      </c>
      <c r="T5" t="s">
        <v>14</v>
      </c>
      <c r="U5" t="s">
        <v>15</v>
      </c>
    </row>
    <row r="6" spans="1:21">
      <c r="A6" t="s">
        <v>16</v>
      </c>
      <c r="B6" t="s">
        <v>48</v>
      </c>
      <c r="C6">
        <v>18674</v>
      </c>
      <c r="D6" t="s">
        <v>48</v>
      </c>
      <c r="E6">
        <v>16506</v>
      </c>
      <c r="F6" t="s">
        <v>48</v>
      </c>
      <c r="G6">
        <v>15367</v>
      </c>
      <c r="H6" t="s">
        <v>48</v>
      </c>
      <c r="I6">
        <v>35275</v>
      </c>
      <c r="J6" t="s">
        <v>48</v>
      </c>
      <c r="K6">
        <v>31289</v>
      </c>
      <c r="L6" t="s">
        <v>48</v>
      </c>
      <c r="M6">
        <v>30988</v>
      </c>
      <c r="N6" t="s">
        <v>48</v>
      </c>
      <c r="O6">
        <v>33275</v>
      </c>
      <c r="P6" t="s">
        <v>48</v>
      </c>
      <c r="Q6">
        <v>28567</v>
      </c>
      <c r="R6" t="s">
        <v>48</v>
      </c>
      <c r="S6">
        <v>32033</v>
      </c>
      <c r="T6" t="s">
        <v>48</v>
      </c>
      <c r="U6">
        <v>34017</v>
      </c>
    </row>
    <row r="7" spans="1:21">
      <c r="A7" t="s">
        <v>17</v>
      </c>
      <c r="B7" t="s">
        <v>48</v>
      </c>
      <c r="C7" t="s">
        <v>18</v>
      </c>
      <c r="D7" t="s">
        <v>48</v>
      </c>
      <c r="E7" t="s">
        <v>18</v>
      </c>
      <c r="F7" t="s">
        <v>48</v>
      </c>
      <c r="G7" t="s">
        <v>18</v>
      </c>
      <c r="H7" t="s">
        <v>48</v>
      </c>
      <c r="I7" t="s">
        <v>18</v>
      </c>
      <c r="J7" t="s">
        <v>48</v>
      </c>
      <c r="K7" t="s">
        <v>18</v>
      </c>
      <c r="L7" t="s">
        <v>48</v>
      </c>
      <c r="M7" t="s">
        <v>18</v>
      </c>
      <c r="N7" t="s">
        <v>48</v>
      </c>
      <c r="O7" t="s">
        <v>18</v>
      </c>
      <c r="P7" t="s">
        <v>48</v>
      </c>
      <c r="Q7" t="s">
        <v>18</v>
      </c>
      <c r="R7" t="s">
        <v>48</v>
      </c>
      <c r="S7" t="s">
        <v>18</v>
      </c>
      <c r="T7" t="s">
        <v>48</v>
      </c>
      <c r="U7" t="s">
        <v>18</v>
      </c>
    </row>
    <row r="8" spans="1:21">
      <c r="A8" t="s">
        <v>19</v>
      </c>
      <c r="B8" t="s">
        <v>48</v>
      </c>
      <c r="C8">
        <v>14310</v>
      </c>
      <c r="D8" t="s">
        <v>48</v>
      </c>
      <c r="E8">
        <v>12450</v>
      </c>
      <c r="F8" t="s">
        <v>48</v>
      </c>
      <c r="G8">
        <v>12462</v>
      </c>
      <c r="H8" t="s">
        <v>48</v>
      </c>
      <c r="I8">
        <v>9167</v>
      </c>
      <c r="J8" t="s">
        <v>48</v>
      </c>
      <c r="K8">
        <v>9091</v>
      </c>
      <c r="L8" t="s">
        <v>48</v>
      </c>
      <c r="M8">
        <v>8800</v>
      </c>
      <c r="N8" t="s">
        <v>48</v>
      </c>
      <c r="O8">
        <v>8824</v>
      </c>
      <c r="P8" t="s">
        <v>48</v>
      </c>
      <c r="Q8">
        <v>8515</v>
      </c>
      <c r="R8" t="s">
        <v>48</v>
      </c>
      <c r="S8">
        <v>8333</v>
      </c>
      <c r="T8" t="s">
        <v>48</v>
      </c>
      <c r="U8">
        <v>6500</v>
      </c>
    </row>
    <row r="9" spans="1:21">
      <c r="A9" t="s">
        <v>20</v>
      </c>
      <c r="B9" t="s">
        <v>48</v>
      </c>
      <c r="C9">
        <v>12767</v>
      </c>
      <c r="D9" t="s">
        <v>48</v>
      </c>
      <c r="E9">
        <v>16268</v>
      </c>
      <c r="F9" t="s">
        <v>48</v>
      </c>
      <c r="G9">
        <v>16337</v>
      </c>
      <c r="H9" t="s">
        <v>48</v>
      </c>
      <c r="I9">
        <v>14612</v>
      </c>
      <c r="J9" t="s">
        <v>48</v>
      </c>
      <c r="K9">
        <v>15568</v>
      </c>
      <c r="L9" t="s">
        <v>48</v>
      </c>
      <c r="M9">
        <v>17154</v>
      </c>
      <c r="N9" t="s">
        <v>48</v>
      </c>
      <c r="O9">
        <v>19042</v>
      </c>
      <c r="P9" t="s">
        <v>48</v>
      </c>
      <c r="Q9">
        <v>19889</v>
      </c>
      <c r="R9" t="s">
        <v>48</v>
      </c>
      <c r="S9">
        <v>20900</v>
      </c>
      <c r="T9" t="s">
        <v>48</v>
      </c>
      <c r="U9">
        <v>20076</v>
      </c>
    </row>
    <row r="10" spans="1:21">
      <c r="A10" t="s">
        <v>21</v>
      </c>
      <c r="B10" t="s">
        <v>48</v>
      </c>
      <c r="C10">
        <v>25072</v>
      </c>
      <c r="D10" t="s">
        <v>48</v>
      </c>
      <c r="E10">
        <v>25875</v>
      </c>
      <c r="F10" t="s">
        <v>48</v>
      </c>
      <c r="G10">
        <v>25906</v>
      </c>
      <c r="H10" t="s">
        <v>48</v>
      </c>
      <c r="I10">
        <v>25785</v>
      </c>
      <c r="J10" t="s">
        <v>48</v>
      </c>
      <c r="K10">
        <v>26597</v>
      </c>
      <c r="L10" t="s">
        <v>48</v>
      </c>
      <c r="M10">
        <v>26971</v>
      </c>
      <c r="N10" t="s">
        <v>48</v>
      </c>
      <c r="O10">
        <v>27043</v>
      </c>
      <c r="P10" t="s">
        <v>48</v>
      </c>
      <c r="Q10">
        <v>27113</v>
      </c>
      <c r="R10" t="s">
        <v>48</v>
      </c>
      <c r="S10">
        <v>24060</v>
      </c>
      <c r="T10" t="s">
        <v>48</v>
      </c>
      <c r="U10">
        <v>23975</v>
      </c>
    </row>
    <row r="11" spans="1:21">
      <c r="A11" t="s">
        <v>22</v>
      </c>
      <c r="B11" t="s">
        <v>48</v>
      </c>
      <c r="C11" t="s">
        <v>18</v>
      </c>
      <c r="D11" t="s">
        <v>48</v>
      </c>
      <c r="E11" t="s">
        <v>18</v>
      </c>
      <c r="F11" t="s">
        <v>48</v>
      </c>
      <c r="G11" t="s">
        <v>18</v>
      </c>
      <c r="H11" t="s">
        <v>48</v>
      </c>
      <c r="I11" t="s">
        <v>18</v>
      </c>
      <c r="J11" t="s">
        <v>48</v>
      </c>
      <c r="K11" t="s">
        <v>18</v>
      </c>
      <c r="L11" t="s">
        <v>48</v>
      </c>
      <c r="M11" t="s">
        <v>18</v>
      </c>
      <c r="N11" t="s">
        <v>48</v>
      </c>
      <c r="O11" t="s">
        <v>18</v>
      </c>
      <c r="P11" t="s">
        <v>48</v>
      </c>
      <c r="Q11" t="s">
        <v>18</v>
      </c>
      <c r="R11" t="s">
        <v>48</v>
      </c>
      <c r="S11" t="s">
        <v>18</v>
      </c>
      <c r="T11" t="s">
        <v>48</v>
      </c>
      <c r="U11" t="s">
        <v>18</v>
      </c>
    </row>
    <row r="12" spans="1:21">
      <c r="A12" t="s">
        <v>23</v>
      </c>
      <c r="B12" t="s">
        <v>48</v>
      </c>
      <c r="C12" t="s">
        <v>18</v>
      </c>
      <c r="D12" t="s">
        <v>48</v>
      </c>
      <c r="E12" t="s">
        <v>18</v>
      </c>
      <c r="F12" t="s">
        <v>48</v>
      </c>
      <c r="G12" t="s">
        <v>18</v>
      </c>
      <c r="H12" t="s">
        <v>48</v>
      </c>
      <c r="I12" t="s">
        <v>18</v>
      </c>
      <c r="J12" t="s">
        <v>48</v>
      </c>
      <c r="K12" t="s">
        <v>18</v>
      </c>
      <c r="L12" t="s">
        <v>48</v>
      </c>
      <c r="M12" t="s">
        <v>18</v>
      </c>
      <c r="N12" t="s">
        <v>48</v>
      </c>
      <c r="O12" t="s">
        <v>18</v>
      </c>
      <c r="P12" t="s">
        <v>48</v>
      </c>
      <c r="Q12" t="s">
        <v>18</v>
      </c>
      <c r="R12" t="s">
        <v>48</v>
      </c>
      <c r="S12" t="s">
        <v>18</v>
      </c>
      <c r="T12" t="s">
        <v>48</v>
      </c>
      <c r="U12" t="s">
        <v>18</v>
      </c>
    </row>
    <row r="13" spans="1:21">
      <c r="A13" t="s">
        <v>24</v>
      </c>
      <c r="B13" t="s">
        <v>48</v>
      </c>
      <c r="C13">
        <v>19995</v>
      </c>
      <c r="D13" t="s">
        <v>48</v>
      </c>
      <c r="E13">
        <v>19954</v>
      </c>
      <c r="F13" t="s">
        <v>48</v>
      </c>
      <c r="G13">
        <v>19423</v>
      </c>
      <c r="H13" t="s">
        <v>48</v>
      </c>
      <c r="I13">
        <v>20330</v>
      </c>
      <c r="J13" t="s">
        <v>48</v>
      </c>
      <c r="K13">
        <v>21500</v>
      </c>
      <c r="L13" t="s">
        <v>48</v>
      </c>
      <c r="M13">
        <v>20419</v>
      </c>
      <c r="N13" t="s">
        <v>48</v>
      </c>
      <c r="O13">
        <v>20125</v>
      </c>
      <c r="P13" t="s">
        <v>48</v>
      </c>
      <c r="Q13">
        <v>19341</v>
      </c>
      <c r="R13" t="s">
        <v>48</v>
      </c>
      <c r="S13">
        <v>20292</v>
      </c>
      <c r="T13" t="s">
        <v>48</v>
      </c>
      <c r="U13">
        <v>22452</v>
      </c>
    </row>
    <row r="14" spans="1:21">
      <c r="A14" t="s">
        <v>25</v>
      </c>
      <c r="B14" t="s">
        <v>48</v>
      </c>
      <c r="C14">
        <v>20621</v>
      </c>
      <c r="D14" t="s">
        <v>48</v>
      </c>
      <c r="E14">
        <v>22128</v>
      </c>
      <c r="F14" t="s">
        <v>48</v>
      </c>
      <c r="G14">
        <v>18924</v>
      </c>
      <c r="H14" t="s">
        <v>48</v>
      </c>
      <c r="I14">
        <v>22340</v>
      </c>
      <c r="J14" t="s">
        <v>48</v>
      </c>
      <c r="K14">
        <v>29182</v>
      </c>
      <c r="L14" t="s">
        <v>48</v>
      </c>
      <c r="M14">
        <v>28732</v>
      </c>
      <c r="N14" t="s">
        <v>48</v>
      </c>
      <c r="O14">
        <v>33665</v>
      </c>
      <c r="P14" t="s">
        <v>48</v>
      </c>
      <c r="Q14">
        <v>22016</v>
      </c>
      <c r="R14" t="s">
        <v>48</v>
      </c>
      <c r="S14">
        <v>24817</v>
      </c>
      <c r="T14" t="s">
        <v>48</v>
      </c>
      <c r="U14">
        <v>32343</v>
      </c>
    </row>
    <row r="15" spans="1:21">
      <c r="A15" t="s">
        <v>26</v>
      </c>
      <c r="B15" t="s">
        <v>48</v>
      </c>
      <c r="C15">
        <v>50997</v>
      </c>
      <c r="D15" t="s">
        <v>48</v>
      </c>
      <c r="E15">
        <v>43279</v>
      </c>
      <c r="F15" t="s">
        <v>48</v>
      </c>
      <c r="G15">
        <v>48517</v>
      </c>
      <c r="H15" t="s">
        <v>48</v>
      </c>
      <c r="I15">
        <v>46756</v>
      </c>
      <c r="J15" t="s">
        <v>48</v>
      </c>
      <c r="K15">
        <v>56269</v>
      </c>
      <c r="L15" t="s">
        <v>48</v>
      </c>
      <c r="M15">
        <v>64475</v>
      </c>
      <c r="N15" t="s">
        <v>48</v>
      </c>
      <c r="O15">
        <v>71087</v>
      </c>
      <c r="P15" t="s">
        <v>48</v>
      </c>
      <c r="Q15">
        <v>71565</v>
      </c>
      <c r="R15" t="s">
        <v>48</v>
      </c>
      <c r="S15">
        <v>72830</v>
      </c>
      <c r="T15" t="s">
        <v>48</v>
      </c>
      <c r="U15">
        <v>72470</v>
      </c>
    </row>
    <row r="16" spans="1:21">
      <c r="A16" t="s">
        <v>27</v>
      </c>
      <c r="B16" t="s">
        <v>48</v>
      </c>
      <c r="C16">
        <v>28722</v>
      </c>
      <c r="D16" t="s">
        <v>48</v>
      </c>
      <c r="E16">
        <v>31122</v>
      </c>
      <c r="F16" t="s">
        <v>48</v>
      </c>
      <c r="G16">
        <v>31730</v>
      </c>
      <c r="H16" t="s">
        <v>48</v>
      </c>
      <c r="I16">
        <v>27504</v>
      </c>
      <c r="J16" t="s">
        <v>48</v>
      </c>
      <c r="K16">
        <v>29300</v>
      </c>
      <c r="L16" t="s">
        <v>48</v>
      </c>
      <c r="M16">
        <v>29049</v>
      </c>
      <c r="N16" t="s">
        <v>48</v>
      </c>
      <c r="O16">
        <v>31254</v>
      </c>
      <c r="P16" t="s">
        <v>48</v>
      </c>
      <c r="Q16">
        <v>29912</v>
      </c>
      <c r="R16" t="s">
        <v>48</v>
      </c>
      <c r="S16">
        <v>31392</v>
      </c>
      <c r="T16" t="s">
        <v>48</v>
      </c>
      <c r="U16">
        <v>30109</v>
      </c>
    </row>
    <row r="17" spans="1:21">
      <c r="A17" t="s">
        <v>28</v>
      </c>
      <c r="B17" t="s">
        <v>48</v>
      </c>
      <c r="C17">
        <v>35124</v>
      </c>
      <c r="D17" t="s">
        <v>48</v>
      </c>
      <c r="E17">
        <v>29715</v>
      </c>
      <c r="F17" t="s">
        <v>48</v>
      </c>
      <c r="G17">
        <v>31202</v>
      </c>
      <c r="H17" t="s">
        <v>48</v>
      </c>
      <c r="I17">
        <v>27726</v>
      </c>
      <c r="J17" t="s">
        <v>48</v>
      </c>
      <c r="K17">
        <v>29583</v>
      </c>
      <c r="L17" t="s">
        <v>48</v>
      </c>
      <c r="M17">
        <v>28616</v>
      </c>
      <c r="N17" t="s">
        <v>48</v>
      </c>
      <c r="O17">
        <v>29557</v>
      </c>
      <c r="P17" t="s">
        <v>48</v>
      </c>
      <c r="Q17">
        <v>30083</v>
      </c>
      <c r="R17" t="s">
        <v>48</v>
      </c>
      <c r="S17">
        <v>30235</v>
      </c>
      <c r="T17" t="s">
        <v>48</v>
      </c>
      <c r="U17">
        <v>29777</v>
      </c>
    </row>
    <row r="18" spans="1:21">
      <c r="A18" t="s">
        <v>29</v>
      </c>
      <c r="B18" t="s">
        <v>48</v>
      </c>
      <c r="C18">
        <v>34543</v>
      </c>
      <c r="D18" t="s">
        <v>48</v>
      </c>
      <c r="E18">
        <v>37087</v>
      </c>
      <c r="F18" t="s">
        <v>48</v>
      </c>
      <c r="G18">
        <v>33290</v>
      </c>
      <c r="H18" t="s">
        <v>48</v>
      </c>
      <c r="I18">
        <v>40260</v>
      </c>
      <c r="J18" t="s">
        <v>48</v>
      </c>
      <c r="K18">
        <v>47768</v>
      </c>
      <c r="L18" t="s">
        <v>48</v>
      </c>
      <c r="M18">
        <v>41795</v>
      </c>
      <c r="N18" t="s">
        <v>48</v>
      </c>
      <c r="O18">
        <v>39801</v>
      </c>
      <c r="P18" t="s">
        <v>48</v>
      </c>
      <c r="Q18">
        <v>48891</v>
      </c>
      <c r="R18" t="s">
        <v>48</v>
      </c>
      <c r="S18">
        <v>45996</v>
      </c>
      <c r="T18" t="s">
        <v>48</v>
      </c>
      <c r="U18">
        <v>54436</v>
      </c>
    </row>
    <row r="19" spans="1:21">
      <c r="A19" t="s">
        <v>30</v>
      </c>
      <c r="B19" t="s">
        <v>48</v>
      </c>
      <c r="C19">
        <v>74000</v>
      </c>
      <c r="D19" t="s">
        <v>48</v>
      </c>
      <c r="E19">
        <v>74722</v>
      </c>
      <c r="F19" t="s">
        <v>48</v>
      </c>
      <c r="G19">
        <v>55568</v>
      </c>
      <c r="H19" t="s">
        <v>48</v>
      </c>
      <c r="I19">
        <v>63248</v>
      </c>
      <c r="J19" t="s">
        <v>48</v>
      </c>
      <c r="K19">
        <v>60831</v>
      </c>
      <c r="L19" t="s">
        <v>48</v>
      </c>
      <c r="M19">
        <v>55190</v>
      </c>
      <c r="N19" t="s">
        <v>48</v>
      </c>
      <c r="O19">
        <v>56108</v>
      </c>
      <c r="P19" t="s">
        <v>48</v>
      </c>
      <c r="Q19">
        <v>61156</v>
      </c>
      <c r="R19" t="s">
        <v>48</v>
      </c>
      <c r="S19">
        <v>44606</v>
      </c>
      <c r="T19" t="s">
        <v>48</v>
      </c>
      <c r="U19">
        <v>44858</v>
      </c>
    </row>
    <row r="20" spans="1:21">
      <c r="A20" t="s">
        <v>31</v>
      </c>
      <c r="B20" t="s">
        <v>48</v>
      </c>
      <c r="C20">
        <v>16663</v>
      </c>
      <c r="D20" t="s">
        <v>48</v>
      </c>
      <c r="E20">
        <v>16763</v>
      </c>
      <c r="F20" t="s">
        <v>48</v>
      </c>
      <c r="G20">
        <v>16227</v>
      </c>
      <c r="H20" t="s">
        <v>48</v>
      </c>
      <c r="I20" t="s">
        <v>18</v>
      </c>
      <c r="J20" t="s">
        <v>48</v>
      </c>
      <c r="K20">
        <v>33214</v>
      </c>
      <c r="L20" t="s">
        <v>48</v>
      </c>
      <c r="M20">
        <v>30167</v>
      </c>
      <c r="N20" t="s">
        <v>48</v>
      </c>
      <c r="O20">
        <v>34189</v>
      </c>
      <c r="P20" t="s">
        <v>48</v>
      </c>
      <c r="Q20">
        <v>30000</v>
      </c>
      <c r="R20" t="s">
        <v>48</v>
      </c>
      <c r="S20">
        <v>33308</v>
      </c>
      <c r="T20" t="s">
        <v>48</v>
      </c>
      <c r="U20">
        <v>34125</v>
      </c>
    </row>
    <row r="21" spans="1:21">
      <c r="A21" t="s">
        <v>32</v>
      </c>
      <c r="B21" t="s">
        <v>48</v>
      </c>
      <c r="C21">
        <v>44746</v>
      </c>
      <c r="D21" t="s">
        <v>48</v>
      </c>
      <c r="E21">
        <v>45567</v>
      </c>
      <c r="F21" t="s">
        <v>48</v>
      </c>
      <c r="G21">
        <v>47216</v>
      </c>
      <c r="H21" t="s">
        <v>48</v>
      </c>
      <c r="I21">
        <v>56752</v>
      </c>
      <c r="J21" t="s">
        <v>48</v>
      </c>
      <c r="K21">
        <v>56196</v>
      </c>
      <c r="L21" t="s">
        <v>48</v>
      </c>
      <c r="M21">
        <v>53417</v>
      </c>
      <c r="N21" t="s">
        <v>48</v>
      </c>
      <c r="O21">
        <v>54053</v>
      </c>
      <c r="P21" t="s">
        <v>48</v>
      </c>
      <c r="Q21">
        <v>54641</v>
      </c>
      <c r="R21" t="s">
        <v>48</v>
      </c>
      <c r="S21">
        <v>54441</v>
      </c>
      <c r="T21" t="s">
        <v>48</v>
      </c>
      <c r="U21">
        <v>56023</v>
      </c>
    </row>
    <row r="22" spans="1:21">
      <c r="A22" t="s">
        <v>33</v>
      </c>
      <c r="B22" t="s">
        <v>48</v>
      </c>
      <c r="C22">
        <v>72631</v>
      </c>
      <c r="D22" t="s">
        <v>48</v>
      </c>
      <c r="E22">
        <v>73364</v>
      </c>
      <c r="F22" t="s">
        <v>48</v>
      </c>
      <c r="G22">
        <v>68185</v>
      </c>
      <c r="H22" t="s">
        <v>48</v>
      </c>
      <c r="I22">
        <v>75738</v>
      </c>
      <c r="J22" t="s">
        <v>48</v>
      </c>
      <c r="K22">
        <v>73714</v>
      </c>
      <c r="L22" t="s">
        <v>48</v>
      </c>
      <c r="M22">
        <v>74770</v>
      </c>
      <c r="N22" t="s">
        <v>48</v>
      </c>
      <c r="O22">
        <v>74793</v>
      </c>
      <c r="P22" t="s">
        <v>48</v>
      </c>
      <c r="Q22">
        <v>75440</v>
      </c>
      <c r="R22" t="s">
        <v>48</v>
      </c>
      <c r="S22">
        <v>74885</v>
      </c>
      <c r="T22" t="s">
        <v>48</v>
      </c>
      <c r="U22">
        <v>75055</v>
      </c>
    </row>
    <row r="23" spans="1:21">
      <c r="A23" t="s">
        <v>34</v>
      </c>
      <c r="B23" t="s">
        <v>48</v>
      </c>
      <c r="C23">
        <v>72330</v>
      </c>
      <c r="D23" t="s">
        <v>48</v>
      </c>
      <c r="E23">
        <v>57864</v>
      </c>
      <c r="F23" t="s">
        <v>48</v>
      </c>
      <c r="G23">
        <v>60567</v>
      </c>
      <c r="H23" t="s">
        <v>48</v>
      </c>
      <c r="I23">
        <v>65079</v>
      </c>
      <c r="J23" t="s">
        <v>48</v>
      </c>
      <c r="K23">
        <v>65860</v>
      </c>
      <c r="L23" t="s">
        <v>48</v>
      </c>
      <c r="M23">
        <v>63470</v>
      </c>
      <c r="N23" t="s">
        <v>48</v>
      </c>
      <c r="O23">
        <v>57903</v>
      </c>
      <c r="P23" t="s">
        <v>48</v>
      </c>
      <c r="Q23">
        <v>58944</v>
      </c>
      <c r="R23" t="s">
        <v>48</v>
      </c>
      <c r="S23">
        <v>64144</v>
      </c>
      <c r="T23" t="s">
        <v>48</v>
      </c>
      <c r="U23">
        <v>64453</v>
      </c>
    </row>
    <row r="24" spans="1:21">
      <c r="A24" t="s">
        <v>35</v>
      </c>
      <c r="B24" t="s">
        <v>48</v>
      </c>
      <c r="C24">
        <v>76427</v>
      </c>
      <c r="D24" t="s">
        <v>48</v>
      </c>
      <c r="E24">
        <v>73503</v>
      </c>
      <c r="F24" t="s">
        <v>48</v>
      </c>
      <c r="G24">
        <v>73324</v>
      </c>
      <c r="H24" t="s">
        <v>48</v>
      </c>
      <c r="I24">
        <v>68922</v>
      </c>
      <c r="J24" t="s">
        <v>48</v>
      </c>
      <c r="K24">
        <v>66354</v>
      </c>
      <c r="L24" t="s">
        <v>48</v>
      </c>
      <c r="M24">
        <v>66227</v>
      </c>
      <c r="N24" t="s">
        <v>48</v>
      </c>
      <c r="O24">
        <v>68735</v>
      </c>
      <c r="P24" t="s">
        <v>48</v>
      </c>
      <c r="Q24">
        <v>67929</v>
      </c>
      <c r="R24" t="s">
        <v>48</v>
      </c>
      <c r="S24">
        <v>66461</v>
      </c>
      <c r="T24" t="s">
        <v>48</v>
      </c>
      <c r="U24">
        <v>65601</v>
      </c>
    </row>
    <row r="25" spans="1:21">
      <c r="A25" t="s">
        <v>36</v>
      </c>
      <c r="B25" t="s">
        <v>48</v>
      </c>
      <c r="C25" t="s">
        <v>37</v>
      </c>
      <c r="D25" t="s">
        <v>48</v>
      </c>
      <c r="E25" t="s">
        <v>37</v>
      </c>
      <c r="F25" t="s">
        <v>48</v>
      </c>
      <c r="G25" t="s">
        <v>37</v>
      </c>
      <c r="H25" t="s">
        <v>48</v>
      </c>
      <c r="I25" t="s">
        <v>37</v>
      </c>
      <c r="J25" t="s">
        <v>48</v>
      </c>
      <c r="K25" t="s">
        <v>37</v>
      </c>
      <c r="L25" t="s">
        <v>48</v>
      </c>
      <c r="M25" t="s">
        <v>37</v>
      </c>
      <c r="N25" t="s">
        <v>48</v>
      </c>
      <c r="O25" t="s">
        <v>37</v>
      </c>
      <c r="P25" t="s">
        <v>48</v>
      </c>
      <c r="Q25" t="s">
        <v>37</v>
      </c>
      <c r="R25" t="s">
        <v>48</v>
      </c>
      <c r="S25" t="s">
        <v>37</v>
      </c>
      <c r="T25" t="s">
        <v>48</v>
      </c>
      <c r="U25" t="s">
        <v>37</v>
      </c>
    </row>
    <row r="26" spans="1:21">
      <c r="A26" t="s">
        <v>38</v>
      </c>
      <c r="B26" t="s">
        <v>48</v>
      </c>
      <c r="C26">
        <v>75433</v>
      </c>
      <c r="D26" t="s">
        <v>48</v>
      </c>
      <c r="E26">
        <v>73367</v>
      </c>
      <c r="F26" t="s">
        <v>48</v>
      </c>
      <c r="G26">
        <v>74319</v>
      </c>
      <c r="H26" t="s">
        <v>48</v>
      </c>
      <c r="I26">
        <v>76792</v>
      </c>
      <c r="J26" t="s">
        <v>48</v>
      </c>
      <c r="K26">
        <v>78609</v>
      </c>
      <c r="L26" t="s">
        <v>48</v>
      </c>
      <c r="M26">
        <v>82045</v>
      </c>
      <c r="N26" t="s">
        <v>48</v>
      </c>
      <c r="O26">
        <v>79432</v>
      </c>
      <c r="P26" t="s">
        <v>48</v>
      </c>
      <c r="Q26">
        <v>75639</v>
      </c>
      <c r="R26" t="s">
        <v>48</v>
      </c>
      <c r="S26">
        <v>79596</v>
      </c>
      <c r="T26" t="s">
        <v>48</v>
      </c>
      <c r="U26">
        <v>75592</v>
      </c>
    </row>
    <row r="27" spans="1:21">
      <c r="A27" t="s">
        <v>39</v>
      </c>
      <c r="B27" t="s">
        <v>48</v>
      </c>
      <c r="C27">
        <v>57635</v>
      </c>
      <c r="D27" t="s">
        <v>48</v>
      </c>
      <c r="E27">
        <v>61484</v>
      </c>
      <c r="F27" t="s">
        <v>48</v>
      </c>
      <c r="G27">
        <v>56681</v>
      </c>
      <c r="H27" t="s">
        <v>48</v>
      </c>
      <c r="I27">
        <v>60570</v>
      </c>
      <c r="J27" t="s">
        <v>48</v>
      </c>
      <c r="K27">
        <v>59372</v>
      </c>
      <c r="L27" t="s">
        <v>48</v>
      </c>
      <c r="M27">
        <v>60687</v>
      </c>
      <c r="N27" t="s">
        <v>48</v>
      </c>
      <c r="O27">
        <v>61780</v>
      </c>
      <c r="P27" t="s">
        <v>48</v>
      </c>
      <c r="Q27">
        <v>58771</v>
      </c>
      <c r="R27" t="s">
        <v>48</v>
      </c>
      <c r="S27">
        <v>63022</v>
      </c>
      <c r="T27" t="s">
        <v>48</v>
      </c>
      <c r="U27">
        <v>63375</v>
      </c>
    </row>
    <row r="28" spans="1:21">
      <c r="A28" t="s">
        <v>40</v>
      </c>
      <c r="B28" t="s">
        <v>48</v>
      </c>
      <c r="C28">
        <v>67452</v>
      </c>
      <c r="D28" t="s">
        <v>48</v>
      </c>
      <c r="E28">
        <v>68262</v>
      </c>
      <c r="F28" t="s">
        <v>48</v>
      </c>
      <c r="G28">
        <v>62216</v>
      </c>
      <c r="H28" t="s">
        <v>48</v>
      </c>
      <c r="I28">
        <v>64160</v>
      </c>
      <c r="J28" t="s">
        <v>48</v>
      </c>
      <c r="K28">
        <v>68771</v>
      </c>
      <c r="L28" t="s">
        <v>48</v>
      </c>
      <c r="M28">
        <v>65779</v>
      </c>
      <c r="N28" t="s">
        <v>48</v>
      </c>
      <c r="O28">
        <v>67107</v>
      </c>
      <c r="P28" t="s">
        <v>48</v>
      </c>
      <c r="Q28">
        <v>63138</v>
      </c>
      <c r="R28" t="s">
        <v>48</v>
      </c>
      <c r="S28">
        <v>60071</v>
      </c>
      <c r="T28" t="s">
        <v>48</v>
      </c>
      <c r="U28">
        <v>68037</v>
      </c>
    </row>
    <row r="29" spans="1:21">
      <c r="A29" t="s">
        <v>41</v>
      </c>
      <c r="B29" t="s">
        <v>48</v>
      </c>
      <c r="C29">
        <v>49379</v>
      </c>
      <c r="D29" t="s">
        <v>48</v>
      </c>
      <c r="E29">
        <v>49080</v>
      </c>
      <c r="F29" t="s">
        <v>48</v>
      </c>
      <c r="G29">
        <v>48495</v>
      </c>
      <c r="H29" t="s">
        <v>48</v>
      </c>
      <c r="I29">
        <v>51270</v>
      </c>
      <c r="J29" t="s">
        <v>48</v>
      </c>
      <c r="K29">
        <v>50447</v>
      </c>
      <c r="L29" t="s">
        <v>48</v>
      </c>
      <c r="M29">
        <v>49123</v>
      </c>
      <c r="N29" t="s">
        <v>48</v>
      </c>
      <c r="O29">
        <v>43031</v>
      </c>
      <c r="P29" t="s">
        <v>48</v>
      </c>
      <c r="Q29">
        <v>46530</v>
      </c>
      <c r="R29" t="s">
        <v>48</v>
      </c>
      <c r="S29">
        <v>46169</v>
      </c>
      <c r="T29" t="s">
        <v>48</v>
      </c>
      <c r="U29">
        <v>51604</v>
      </c>
    </row>
    <row r="30" spans="1:21">
      <c r="A30" t="s">
        <v>42</v>
      </c>
      <c r="B30" t="s">
        <v>48</v>
      </c>
      <c r="C30">
        <v>40449</v>
      </c>
      <c r="D30" t="s">
        <v>48</v>
      </c>
      <c r="E30">
        <v>35072</v>
      </c>
      <c r="F30" t="s">
        <v>48</v>
      </c>
      <c r="G30">
        <v>35130</v>
      </c>
      <c r="H30" t="s">
        <v>48</v>
      </c>
      <c r="I30">
        <v>41212</v>
      </c>
      <c r="J30" t="s">
        <v>48</v>
      </c>
      <c r="K30">
        <v>34155</v>
      </c>
      <c r="L30" t="s">
        <v>48</v>
      </c>
      <c r="M30">
        <v>33660</v>
      </c>
      <c r="N30" t="s">
        <v>48</v>
      </c>
      <c r="O30">
        <v>43426</v>
      </c>
      <c r="P30" t="s">
        <v>48</v>
      </c>
      <c r="Q30">
        <v>33750</v>
      </c>
      <c r="R30" t="s">
        <v>48</v>
      </c>
      <c r="S30">
        <v>31367</v>
      </c>
      <c r="T30" t="s">
        <v>48</v>
      </c>
      <c r="U30">
        <v>33902</v>
      </c>
    </row>
    <row r="31" spans="1:21">
      <c r="A31" t="s">
        <v>43</v>
      </c>
      <c r="B31" t="s">
        <v>48</v>
      </c>
      <c r="C31">
        <v>40629</v>
      </c>
      <c r="D31" t="s">
        <v>48</v>
      </c>
      <c r="E31">
        <v>40828</v>
      </c>
      <c r="F31" t="s">
        <v>48</v>
      </c>
      <c r="G31">
        <v>39658</v>
      </c>
      <c r="H31" t="s">
        <v>48</v>
      </c>
      <c r="I31">
        <v>24220</v>
      </c>
      <c r="J31" t="s">
        <v>48</v>
      </c>
      <c r="K31">
        <v>21364</v>
      </c>
      <c r="L31" t="s">
        <v>48</v>
      </c>
      <c r="M31">
        <v>21450</v>
      </c>
      <c r="N31" t="s">
        <v>48</v>
      </c>
      <c r="O31">
        <v>20768</v>
      </c>
      <c r="P31" t="s">
        <v>48</v>
      </c>
      <c r="Q31">
        <v>20120</v>
      </c>
      <c r="R31" t="s">
        <v>48</v>
      </c>
      <c r="S31">
        <v>20301</v>
      </c>
      <c r="T31" t="s">
        <v>48</v>
      </c>
      <c r="U31">
        <v>20532</v>
      </c>
    </row>
    <row r="32" spans="1:21">
      <c r="A32" t="s">
        <v>44</v>
      </c>
      <c r="B32" t="s">
        <v>48</v>
      </c>
      <c r="C32">
        <v>90046</v>
      </c>
      <c r="D32" t="s">
        <v>48</v>
      </c>
      <c r="E32">
        <v>85701</v>
      </c>
      <c r="F32" t="s">
        <v>48</v>
      </c>
      <c r="G32">
        <v>81615</v>
      </c>
      <c r="H32" t="s">
        <v>48</v>
      </c>
      <c r="I32">
        <v>79603</v>
      </c>
      <c r="J32" t="s">
        <v>48</v>
      </c>
      <c r="K32">
        <v>90573</v>
      </c>
      <c r="L32" t="s">
        <v>48</v>
      </c>
      <c r="M32">
        <v>91456</v>
      </c>
      <c r="N32" t="s">
        <v>48</v>
      </c>
      <c r="O32">
        <v>96614</v>
      </c>
      <c r="P32" t="s">
        <v>48</v>
      </c>
      <c r="Q32">
        <v>96100</v>
      </c>
      <c r="R32" t="s">
        <v>48</v>
      </c>
      <c r="S32">
        <v>85466</v>
      </c>
      <c r="T32" t="s">
        <v>48</v>
      </c>
      <c r="U32">
        <v>85752</v>
      </c>
    </row>
    <row r="33" spans="1:21">
      <c r="A33" t="s">
        <v>45</v>
      </c>
      <c r="B33" t="s">
        <v>48</v>
      </c>
      <c r="C33">
        <v>67690</v>
      </c>
      <c r="D33" t="s">
        <v>48</v>
      </c>
      <c r="E33">
        <v>69359</v>
      </c>
      <c r="F33" t="s">
        <v>48</v>
      </c>
      <c r="G33">
        <v>76400</v>
      </c>
      <c r="H33" t="s">
        <v>48</v>
      </c>
      <c r="I33">
        <v>79878</v>
      </c>
      <c r="J33" t="s">
        <v>48</v>
      </c>
      <c r="K33">
        <v>80000</v>
      </c>
      <c r="L33" t="s">
        <v>48</v>
      </c>
      <c r="M33">
        <v>80000</v>
      </c>
      <c r="N33" t="s">
        <v>48</v>
      </c>
      <c r="O33">
        <v>80000</v>
      </c>
      <c r="P33" t="s">
        <v>48</v>
      </c>
      <c r="Q33">
        <v>80000</v>
      </c>
      <c r="R33" t="s">
        <v>48</v>
      </c>
      <c r="S33">
        <v>80000</v>
      </c>
      <c r="T33" t="s">
        <v>48</v>
      </c>
      <c r="U33">
        <v>80000</v>
      </c>
    </row>
    <row r="34" spans="1:21">
      <c r="A34" s="9" t="s">
        <v>46</v>
      </c>
      <c r="B34" s="9"/>
      <c r="C34" s="9"/>
      <c r="D34" s="9"/>
      <c r="E34" s="9"/>
      <c r="F34" s="9"/>
      <c r="G34" s="9"/>
      <c r="H34" s="9"/>
      <c r="I34" s="9"/>
      <c r="J34" s="9"/>
      <c r="K34" s="9"/>
      <c r="L34" s="9"/>
      <c r="M34" s="9"/>
      <c r="N34" s="9"/>
      <c r="O34" s="9"/>
      <c r="P34" s="9"/>
      <c r="Q34" s="9"/>
      <c r="R34" s="9"/>
      <c r="S34" s="9"/>
      <c r="T34" s="9"/>
      <c r="U34" s="9"/>
    </row>
  </sheetData>
  <mergeCells count="15">
    <mergeCell ref="A34:U34"/>
    <mergeCell ref="A1:U1"/>
    <mergeCell ref="A2:U2"/>
    <mergeCell ref="A3:A5"/>
    <mergeCell ref="B3:U3"/>
    <mergeCell ref="B4:C4"/>
    <mergeCell ref="D4:E4"/>
    <mergeCell ref="F4:G4"/>
    <mergeCell ref="H4:I4"/>
    <mergeCell ref="J4:K4"/>
    <mergeCell ref="L4:M4"/>
    <mergeCell ref="N4:O4"/>
    <mergeCell ref="P4:Q4"/>
    <mergeCell ref="R4:S4"/>
    <mergeCell ref="T4:U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10364-D4C0-45DB-A0DE-62BC316200F3}">
  <dimension ref="A1:C11"/>
  <sheetViews>
    <sheetView workbookViewId="0">
      <selection activeCell="C1" sqref="C1"/>
    </sheetView>
  </sheetViews>
  <sheetFormatPr defaultRowHeight="14.4"/>
  <cols>
    <col min="2" max="2" width="23.33203125" customWidth="1"/>
    <col min="3" max="3" width="13" customWidth="1"/>
  </cols>
  <sheetData>
    <row r="1" spans="1:3">
      <c r="A1" t="s">
        <v>106</v>
      </c>
      <c r="B1" t="s">
        <v>107</v>
      </c>
      <c r="C1" s="31">
        <f>(B11-B2)/B2</f>
        <v>-8.3168901387443095E-2</v>
      </c>
    </row>
    <row r="2" spans="1:3">
      <c r="A2">
        <v>2014</v>
      </c>
      <c r="B2">
        <f>SUM('Raw Data - Harvested Area'!C6:C33)</f>
        <v>64363</v>
      </c>
      <c r="C2" s="31" t="s">
        <v>108</v>
      </c>
    </row>
    <row r="3" spans="1:3">
      <c r="A3">
        <v>2015</v>
      </c>
      <c r="B3">
        <f>SUM('Raw Data - Harvested Area'!E6:E33)</f>
        <v>63572</v>
      </c>
      <c r="C3" t="s">
        <v>110</v>
      </c>
    </row>
    <row r="4" spans="1:3">
      <c r="A4">
        <v>2016</v>
      </c>
      <c r="B4">
        <f>SUM('Raw Data - Harvested Area'!G6:G33)</f>
        <v>63995</v>
      </c>
      <c r="C4" t="s">
        <v>109</v>
      </c>
    </row>
    <row r="5" spans="1:3">
      <c r="A5">
        <v>2017</v>
      </c>
      <c r="B5">
        <f>SUM('Raw Data - Harvested Area'!I6:I33)</f>
        <v>61403</v>
      </c>
    </row>
    <row r="6" spans="1:3">
      <c r="A6">
        <v>2018</v>
      </c>
      <c r="B6">
        <f>SUM('Raw Data - Harvested Area'!K6:K33)</f>
        <v>57388</v>
      </c>
    </row>
    <row r="7" spans="1:3">
      <c r="A7">
        <v>2019</v>
      </c>
      <c r="B7">
        <f>SUM('Raw Data - Harvested Area'!M6:M33)</f>
        <v>54591</v>
      </c>
    </row>
    <row r="8" spans="1:3">
      <c r="A8">
        <v>2020</v>
      </c>
      <c r="B8">
        <f>SUM('Raw Data - Harvested Area'!O6:O33)</f>
        <v>52006</v>
      </c>
    </row>
    <row r="9" spans="1:3">
      <c r="A9">
        <v>2021</v>
      </c>
      <c r="B9">
        <f>SUM('Raw Data - Harvested Area'!Q6:Q33)</f>
        <v>51908</v>
      </c>
    </row>
    <row r="10" spans="1:3">
      <c r="A10">
        <v>2022</v>
      </c>
      <c r="B10">
        <f>SUM('Raw Data - Harvested Area'!S6:S33)</f>
        <v>54341</v>
      </c>
    </row>
    <row r="11" spans="1:3">
      <c r="A11">
        <v>2023</v>
      </c>
      <c r="B11">
        <f>SUM('Raw Data - Harvested Area'!U6:U33)</f>
        <v>59010</v>
      </c>
    </row>
  </sheetData>
  <pageMargins left="0.511811024" right="0.511811024" top="0.78740157499999996" bottom="0.78740157499999996" header="0.31496062000000002" footer="0.3149606200000000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67946-4EBF-44FB-B6E2-65B172CE78CE}">
  <dimension ref="A1:C28"/>
  <sheetViews>
    <sheetView zoomScale="73" workbookViewId="0">
      <selection activeCell="C39" sqref="C39"/>
    </sheetView>
  </sheetViews>
  <sheetFormatPr defaultRowHeight="14.4"/>
  <cols>
    <col min="1" max="1" width="20" customWidth="1"/>
    <col min="2" max="2" width="19" customWidth="1"/>
    <col min="3" max="3" width="29.21875" customWidth="1"/>
  </cols>
  <sheetData>
    <row r="1" spans="1:3">
      <c r="A1" t="s">
        <v>94</v>
      </c>
      <c r="B1" t="s">
        <v>100</v>
      </c>
      <c r="C1" t="s">
        <v>101</v>
      </c>
    </row>
    <row r="2" spans="1:3">
      <c r="A2" t="s">
        <v>17</v>
      </c>
      <c r="B2" t="s">
        <v>18</v>
      </c>
    </row>
    <row r="3" spans="1:3">
      <c r="A3" t="s">
        <v>22</v>
      </c>
      <c r="B3" t="s">
        <v>18</v>
      </c>
      <c r="C3">
        <f>AVERAGE(B5:B28)</f>
        <v>47711</v>
      </c>
    </row>
    <row r="4" spans="1:3">
      <c r="A4" t="s">
        <v>23</v>
      </c>
      <c r="B4" t="s">
        <v>18</v>
      </c>
    </row>
    <row r="5" spans="1:3">
      <c r="A5" t="s">
        <v>44</v>
      </c>
      <c r="B5">
        <v>85752</v>
      </c>
      <c r="C5" t="s">
        <v>102</v>
      </c>
    </row>
    <row r="6" spans="1:3">
      <c r="A6" t="s">
        <v>45</v>
      </c>
      <c r="B6">
        <v>80000</v>
      </c>
      <c r="C6" t="s">
        <v>103</v>
      </c>
    </row>
    <row r="7" spans="1:3">
      <c r="A7" t="s">
        <v>38</v>
      </c>
      <c r="B7">
        <v>75592</v>
      </c>
      <c r="C7" t="s">
        <v>104</v>
      </c>
    </row>
    <row r="8" spans="1:3">
      <c r="A8" t="s">
        <v>33</v>
      </c>
      <c r="B8">
        <v>75055</v>
      </c>
      <c r="C8" t="s">
        <v>105</v>
      </c>
    </row>
    <row r="9" spans="1:3">
      <c r="A9" t="s">
        <v>26</v>
      </c>
      <c r="B9">
        <v>72470</v>
      </c>
    </row>
    <row r="10" spans="1:3">
      <c r="A10" t="s">
        <v>40</v>
      </c>
      <c r="B10">
        <v>68037</v>
      </c>
    </row>
    <row r="11" spans="1:3">
      <c r="A11" t="s">
        <v>35</v>
      </c>
      <c r="B11">
        <v>65601</v>
      </c>
    </row>
    <row r="12" spans="1:3">
      <c r="A12" t="s">
        <v>34</v>
      </c>
      <c r="B12">
        <v>64453</v>
      </c>
    </row>
    <row r="13" spans="1:3">
      <c r="A13" t="s">
        <v>39</v>
      </c>
      <c r="B13">
        <v>63375</v>
      </c>
    </row>
    <row r="14" spans="1:3">
      <c r="A14" t="s">
        <v>32</v>
      </c>
      <c r="B14">
        <v>56023</v>
      </c>
    </row>
    <row r="15" spans="1:3">
      <c r="A15" t="s">
        <v>29</v>
      </c>
      <c r="B15">
        <v>54436</v>
      </c>
    </row>
    <row r="16" spans="1:3">
      <c r="A16" t="s">
        <v>41</v>
      </c>
      <c r="B16">
        <v>51604</v>
      </c>
    </row>
    <row r="17" spans="1:2">
      <c r="A17" t="s">
        <v>30</v>
      </c>
      <c r="B17">
        <v>44858</v>
      </c>
    </row>
    <row r="18" spans="1:2">
      <c r="A18" t="s">
        <v>31</v>
      </c>
      <c r="B18">
        <v>34125</v>
      </c>
    </row>
    <row r="19" spans="1:2">
      <c r="A19" t="s">
        <v>16</v>
      </c>
      <c r="B19">
        <v>34017</v>
      </c>
    </row>
    <row r="20" spans="1:2">
      <c r="A20" t="s">
        <v>42</v>
      </c>
      <c r="B20">
        <v>33902</v>
      </c>
    </row>
    <row r="21" spans="1:2">
      <c r="A21" t="s">
        <v>25</v>
      </c>
      <c r="B21">
        <v>32343</v>
      </c>
    </row>
    <row r="22" spans="1:2">
      <c r="A22" t="s">
        <v>27</v>
      </c>
      <c r="B22">
        <v>30109</v>
      </c>
    </row>
    <row r="23" spans="1:2">
      <c r="A23" t="s">
        <v>28</v>
      </c>
      <c r="B23">
        <v>29777</v>
      </c>
    </row>
    <row r="24" spans="1:2">
      <c r="A24" t="s">
        <v>21</v>
      </c>
      <c r="B24">
        <v>23975</v>
      </c>
    </row>
    <row r="25" spans="1:2">
      <c r="A25" t="s">
        <v>24</v>
      </c>
      <c r="B25">
        <v>22452</v>
      </c>
    </row>
    <row r="26" spans="1:2">
      <c r="A26" t="s">
        <v>43</v>
      </c>
      <c r="B26">
        <v>20532</v>
      </c>
    </row>
    <row r="27" spans="1:2">
      <c r="A27" t="s">
        <v>20</v>
      </c>
      <c r="B27">
        <v>20076</v>
      </c>
    </row>
    <row r="28" spans="1:2">
      <c r="A28" t="s">
        <v>19</v>
      </c>
      <c r="B28">
        <v>6500</v>
      </c>
    </row>
  </sheetData>
  <sortState xmlns:xlrd2="http://schemas.microsoft.com/office/spreadsheetml/2017/richdata2" ref="A2:B28">
    <sortCondition descending="1" ref="B16:B28"/>
  </sortState>
  <pageMargins left="0.511811024" right="0.511811024" top="0.78740157499999996" bottom="0.78740157499999996" header="0.31496062000000002" footer="0.3149606200000000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1"/>
  <sheetViews>
    <sheetView topLeftCell="H9" workbookViewId="0">
      <selection sqref="A1:B1"/>
    </sheetView>
  </sheetViews>
  <sheetFormatPr defaultRowHeight="14.4"/>
  <sheetData>
    <row r="1" spans="1:2">
      <c r="A1" s="9" t="s">
        <v>50</v>
      </c>
      <c r="B1" s="9"/>
    </row>
    <row r="2" spans="1:2">
      <c r="A2" s="9" t="s">
        <v>51</v>
      </c>
      <c r="B2" s="9"/>
    </row>
    <row r="3" spans="1:2">
      <c r="A3" s="9" t="s">
        <v>52</v>
      </c>
      <c r="B3" s="9"/>
    </row>
    <row r="4" spans="1:2">
      <c r="A4" s="9" t="s">
        <v>53</v>
      </c>
      <c r="B4" s="9"/>
    </row>
    <row r="5" spans="1:2">
      <c r="A5" s="9" t="s">
        <v>54</v>
      </c>
      <c r="B5" s="9"/>
    </row>
    <row r="6" spans="1:2">
      <c r="A6" s="9" t="s">
        <v>55</v>
      </c>
      <c r="B6" s="9"/>
    </row>
    <row r="7" spans="1:2">
      <c r="A7" s="9" t="s">
        <v>56</v>
      </c>
      <c r="B7" s="9"/>
    </row>
    <row r="8" spans="1:2">
      <c r="A8" s="9" t="s">
        <v>57</v>
      </c>
      <c r="B8" s="9"/>
    </row>
    <row r="9" spans="1:2">
      <c r="A9" s="9" t="s">
        <v>58</v>
      </c>
      <c r="B9" s="9"/>
    </row>
    <row r="10" spans="1:2">
      <c r="A10" s="9" t="s">
        <v>59</v>
      </c>
      <c r="B10" s="9"/>
    </row>
    <row r="11" spans="1:2">
      <c r="A11" s="9" t="s">
        <v>60</v>
      </c>
      <c r="B11" s="9"/>
    </row>
    <row r="12" spans="1:2">
      <c r="A12" s="9" t="s">
        <v>61</v>
      </c>
      <c r="B12" s="9"/>
    </row>
    <row r="13" spans="1:2">
      <c r="A13" s="9"/>
      <c r="B13" s="9"/>
    </row>
    <row r="14" spans="1:2">
      <c r="A14" s="9" t="s">
        <v>62</v>
      </c>
      <c r="B14" s="9"/>
    </row>
    <row r="15" spans="1:2">
      <c r="A15" t="s">
        <v>63</v>
      </c>
      <c r="B15" t="s">
        <v>64</v>
      </c>
    </row>
    <row r="16" spans="1:2">
      <c r="A16" t="s">
        <v>18</v>
      </c>
      <c r="B16" t="s">
        <v>65</v>
      </c>
    </row>
    <row r="17" spans="1:2">
      <c r="A17" t="s">
        <v>66</v>
      </c>
      <c r="B17" t="s">
        <v>67</v>
      </c>
    </row>
    <row r="18" spans="1:2">
      <c r="A18" t="s">
        <v>68</v>
      </c>
      <c r="B18" t="s">
        <v>69</v>
      </c>
    </row>
    <row r="19" spans="1:2">
      <c r="A19" t="s">
        <v>48</v>
      </c>
      <c r="B19" t="s">
        <v>70</v>
      </c>
    </row>
    <row r="20" spans="1:2">
      <c r="A20" t="s">
        <v>37</v>
      </c>
      <c r="B20" t="s">
        <v>71</v>
      </c>
    </row>
    <row r="21" spans="1:2">
      <c r="A21" t="s">
        <v>72</v>
      </c>
      <c r="B21" t="s">
        <v>73</v>
      </c>
    </row>
  </sheetData>
  <mergeCells count="14">
    <mergeCell ref="A1:B1"/>
    <mergeCell ref="A2:B2"/>
    <mergeCell ref="A3:B3"/>
    <mergeCell ref="A4:B4"/>
    <mergeCell ref="A5:B5"/>
    <mergeCell ref="A11:B11"/>
    <mergeCell ref="A12:B12"/>
    <mergeCell ref="A13:B13"/>
    <mergeCell ref="A14:B14"/>
    <mergeCell ref="A6:B6"/>
    <mergeCell ref="A7:B7"/>
    <mergeCell ref="A8:B8"/>
    <mergeCell ref="A9:B9"/>
    <mergeCell ref="A10:B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9</vt:i4>
      </vt:variant>
    </vt:vector>
  </HeadingPairs>
  <TitlesOfParts>
    <vt:vector size="9" baseType="lpstr">
      <vt:lpstr>dashboard</vt:lpstr>
      <vt:lpstr>analysis</vt:lpstr>
      <vt:lpstr>2023 State Analysis</vt:lpstr>
      <vt:lpstr>Raw Data - Production</vt:lpstr>
      <vt:lpstr>Raw Data - Harvested Area</vt:lpstr>
      <vt:lpstr>Raw Data - Yield</vt:lpstr>
      <vt:lpstr>Harvested Area Analysis</vt:lpstr>
      <vt:lpstr>yield analysis</vt:lpstr>
      <vt:lpstr>notes</vt:lpstr>
    </vt:vector>
  </TitlesOfParts>
  <Company>IBGE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Sofia Castro</cp:lastModifiedBy>
  <cp:lastPrinted>2026-08-26T23:20:49Z</cp:lastPrinted>
  <dcterms:created xsi:type="dcterms:W3CDTF">2026-08-24T23:53:07Z</dcterms:created>
  <dcterms:modified xsi:type="dcterms:W3CDTF">2026-08-28T01:10:23Z</dcterms:modified>
</cp:coreProperties>
</file>